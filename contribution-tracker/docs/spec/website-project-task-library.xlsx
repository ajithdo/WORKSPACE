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ask Library" sheetId="2" state="visible" r:id="rId4"/>
    <sheet name="Contribution Library" sheetId="3" state="visible" r:id="rId5"/>
    <sheet name="Categor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<sst xmlns="http://schemas.openxmlformats.org/spreadsheetml/2006/main" count="11859" uniqueCount="3273">
  <si>
    <t xml:space="preserve">Website Project Master Task Library — India (small two-person studio)</t>
  </si>
  <si>
    <t xml:space="preserve">Version</t>
  </si>
  <si>
    <t xml:space="preserve">v1.0 · 28 Sep 2026 · default values, not absolute truths</t>
  </si>
  <si>
    <t xml:space="preserve">What this is</t>
  </si>
  <si>
    <t xml:space="preserve">A task library covering the full lifecycle from lead to maintenance. Delete rows that do not apply to a project; never delete MUST HAVE rows without a written reason.</t>
  </si>
  <si>
    <t xml:space="preserve">Classification tags</t>
  </si>
  <si>
    <t xml:space="preserve">[MUST HAVE] needed on every project of this type · [RECOMMENDED] strong best practice · [OPTIONAL] nice to have · [CONDITIONAL] only if the feature/situation exists · [POST-LAUNCH] after go-live / under maintenance</t>
  </si>
  <si>
    <t xml:space="preserve">Legal vs practice</t>
  </si>
  <si>
    <t xml:space="preserve">A [MUST HAVE] tag means the task is operationally essential, not that a law requires it. Legal requirements are discussed separately in the master document with sources.</t>
  </si>
  <si>
    <t xml:space="preserve">Default points</t>
  </si>
  <si>
    <t xml:space="preserve">Points ≈ midpoint of typical effort (hours) × complexity factor (Low 1.0, Medium 1.25, High 1.5), rounded; minimum 1. Per-page/per-item tasks show points per unit. 'Varies' effort tasks default to 1 and should be sized at planning.</t>
  </si>
  <si>
    <t xml:space="preserve">Customising points</t>
  </si>
  <si>
    <t xml:space="preserve">1) Lock points at kickoff (J-08). 2) Change defaults only in quarterly calibration (BO-02), forward-looking only. 3) Per-project overrides need both partners' approval and a reason. 4) For per-unit tasks multiply by quantity (pages, products, templates).</t>
  </si>
  <si>
    <t xml:space="preserve">Billable column</t>
  </si>
  <si>
    <t xml:space="preserve">'No — included' = part of the standard price. 'Yes — separate' = quote as an add-on. 'Conditional' = depends on what the proposal includes.</t>
  </si>
  <si>
    <t xml:space="preserve">Owner roles</t>
  </si>
  <si>
    <t xml:space="preserve">Sales, PM, Design, Content, FE (frontend), BE (backend), DevOps, QA, Either. In a two-person studio each partner covers several roles; the role says what kind of work it is, which helps calibrate points.</t>
  </si>
  <si>
    <t xml:space="preserve">Sheets</t>
  </si>
  <si>
    <t xml:space="preserve">Task Library (all 22 fields) · Contribution Library (Part 13 columns) · Category Summary (live formulas)</t>
  </si>
  <si>
    <t xml:space="preserve">ID</t>
  </si>
  <si>
    <t xml:space="preserve">Category code</t>
  </si>
  <si>
    <t xml:space="preserve">Category</t>
  </si>
  <si>
    <t xml:space="preserve">Task</t>
  </si>
  <si>
    <t xml:space="preserve">Description</t>
  </si>
  <si>
    <t xml:space="preserve">Why necessary</t>
  </si>
  <si>
    <t xml:space="preserve">When</t>
  </si>
  <si>
    <t xml:space="preserve">Prerequisites / dependencies</t>
  </si>
  <si>
    <t xml:space="preserve">Typical owner</t>
  </si>
  <si>
    <t xml:space="preserve">Deliverable / output</t>
  </si>
  <si>
    <t xml:space="preserve">Evidence of completion</t>
  </si>
  <si>
    <t xml:space="preserve">Client approval?</t>
  </si>
  <si>
    <t xml:space="preserve">Classification</t>
  </si>
  <si>
    <t xml:space="preserve">Complexity</t>
  </si>
  <si>
    <t xml:space="preserve">Typical effort</t>
  </si>
  <si>
    <t xml:space="preserve">Possible risks</t>
  </si>
  <si>
    <t xml:space="preserve">Common mistakes</t>
  </si>
  <si>
    <t xml:space="preserve">If skipped</t>
  </si>
  <si>
    <t xml:space="preserve">In standard project?</t>
  </si>
  <si>
    <t xml:space="preserve">Separate billable item?</t>
  </si>
  <si>
    <t xml:space="preserve">Post-launch maintenance?</t>
  </si>
  <si>
    <t xml:space="preserve">A-01</t>
  </si>
  <si>
    <t xml:space="preserve">A</t>
  </si>
  <si>
    <t xml:space="preserve">Lead Generation</t>
  </si>
  <si>
    <t xml:space="preserve">Build prospect list</t>
  </si>
  <si>
    <t xml:space="preserve">List local businesses in a target niche/area with no site, an outdated site, or a site that fails mobile/speed checks; record name, contact, source, current URL</t>
  </si>
  <si>
    <t xml:space="preserve">A pipeline of qualified leads is the only reliable source of projects</t>
  </si>
  <si>
    <t xml:space="preserve">Business-level, ongoing</t>
  </si>
  <si>
    <t xml:space="preserve">Ideal client profile agreed</t>
  </si>
  <si>
    <t xml:space="preserve">Sales</t>
  </si>
  <si>
    <t xml:space="preserve">Prospect sheet rows</t>
  </si>
  <si>
    <t xml:space="preserve">CRM/sheet export with dates</t>
  </si>
  <si>
    <t xml:space="preserve">No</t>
  </si>
  <si>
    <t xml:space="preserve">[RECOMMENDED]</t>
  </si>
  <si>
    <t xml:space="preserve">Low</t>
  </si>
  <si>
    <t xml:space="preserve">1–3 h per 20 leads</t>
  </si>
  <si>
    <t xml:space="preserve">Scraping personal data without basis; wasted time on poor-fit niches</t>
  </si>
  <si>
    <t xml:space="preserve">Listing everyone instead of a niche; no source tracking</t>
  </si>
  <si>
    <t xml:space="preserve">Irregular, referral-only income</t>
  </si>
  <si>
    <t xml:space="preserve">No — included in base price</t>
  </si>
  <si>
    <t xml:space="preserve">A-02</t>
  </si>
  <si>
    <t xml:space="preserve">Prospect mini-audit</t>
  </si>
  <si>
    <t xml:space="preserve">Quick audit of prospect's site, Google Business Profile, socials: mobile view, speed, HTTPS, broken contact info; 3–5 concrete findings</t>
  </si>
  <si>
    <t xml:space="preserve">Gives a specific, credible reason to talk</t>
  </si>
  <si>
    <t xml:space="preserve">Pre-sales</t>
  </si>
  <si>
    <t xml:space="preserve">1-page audit or screenshot set</t>
  </si>
  <si>
    <t xml:space="preserve">Audit doc/screenshots linked to lead</t>
  </si>
  <si>
    <t xml:space="preserve">[OPTIONAL]</t>
  </si>
  <si>
    <t xml:space="preserve">0.5–1 h</t>
  </si>
  <si>
    <t xml:space="preserve">Over-investing in leads that never reply</t>
  </si>
  <si>
    <t xml:space="preserve">Generic audits; insulting tone</t>
  </si>
  <si>
    <t xml:space="preserve">Weak, generic pitch</t>
  </si>
  <si>
    <t xml:space="preserve">A-03</t>
  </si>
  <si>
    <t xml:space="preserve">Log lead with source and status</t>
  </si>
  <si>
    <t xml:space="preserve">Create lead record: business, contact person, phone/email, source, date, next action, status</t>
  </si>
  <si>
    <t xml:space="preserve">Lead source data shows which channels pay off; prevents double contact</t>
  </si>
  <si>
    <t xml:space="preserve">None</t>
  </si>
  <si>
    <t xml:space="preserve">Either</t>
  </si>
  <si>
    <t xml:space="preserve">Lead record</t>
  </si>
  <si>
    <t xml:space="preserve">CRM/app entry with timestamp</t>
  </si>
  <si>
    <t xml:space="preserve">[MUST HAVE]</t>
  </si>
  <si>
    <t xml:space="preserve">5–10 min</t>
  </si>
  <si>
    <t xml:space="preserve">Lost follow-ups</t>
  </si>
  <si>
    <t xml:space="preserve">Keeping leads only in personal WhatsApp</t>
  </si>
  <si>
    <t xml:space="preserve">Partners contact same lead twice; lost revenue</t>
  </si>
  <si>
    <t xml:space="preserve">Yes</t>
  </si>
  <si>
    <t xml:space="preserve">A-04</t>
  </si>
  <si>
    <t xml:space="preserve">Referral and partner outreach</t>
  </si>
  <si>
    <t xml:space="preserve">Ask past clients, CAs, printers, photographers, marketers for referrals; track referrer</t>
  </si>
  <si>
    <t xml:space="preserve">Referrals convert better and cost less</t>
  </si>
  <si>
    <t xml:space="preserve">At least one delivered project</t>
  </si>
  <si>
    <t xml:space="preserve">Referral log</t>
  </si>
  <si>
    <t xml:space="preserve">Messages/call notes</t>
  </si>
  <si>
    <t xml:space="preserve">1–2 h/month</t>
  </si>
  <si>
    <t xml:space="preserve">Promising referral fees without records</t>
  </si>
  <si>
    <t xml:space="preserve">No referral tracking</t>
  </si>
  <si>
    <t xml:space="preserve">Slower growth</t>
  </si>
  <si>
    <t xml:space="preserve">B-01</t>
  </si>
  <si>
    <t xml:space="preserve">B</t>
  </si>
  <si>
    <t xml:space="preserve">Client Outreach</t>
  </si>
  <si>
    <t xml:space="preserve">Write personalised outreach message</t>
  </si>
  <si>
    <t xml:space="preserve">Draft first message referencing audit findings and a clear next step (15-min call)</t>
  </si>
  <si>
    <t xml:space="preserve">Personalised, specific outreach gets replies; generic spam damages reputation</t>
  </si>
  <si>
    <t xml:space="preserve">A-02, A-03</t>
  </si>
  <si>
    <t xml:space="preserve">Message draft</t>
  </si>
  <si>
    <t xml:space="preserve">Sent message copy/screenshot</t>
  </si>
  <si>
    <t xml:space="preserve">15–30 min</t>
  </si>
  <si>
    <t xml:space="preserve">Spam complaints; WhatsApp account restriction for bulk messaging</t>
  </si>
  <si>
    <t xml:space="preserve">Copy-paste bulk messages; no call to action</t>
  </si>
  <si>
    <t xml:space="preserve">Low reply rate</t>
  </si>
  <si>
    <t xml:space="preserve">B-02</t>
  </si>
  <si>
    <t xml:space="preserve">First contact and log outcome</t>
  </si>
  <si>
    <t xml:space="preserve">Call/visit/message; record date, channel, who, outcome, next step</t>
  </si>
  <si>
    <t xml:space="preserve">Creates the audit trail for who sourced the client</t>
  </si>
  <si>
    <t xml:space="preserve">Contact log entry</t>
  </si>
  <si>
    <t xml:space="preserve">Call log/meeting note</t>
  </si>
  <si>
    <t xml:space="preserve">10–30 min</t>
  </si>
  <si>
    <t xml:space="preserve">Disputes between partners about who brought the client</t>
  </si>
  <si>
    <t xml:space="preserve">Not logging verbal conversations</t>
  </si>
  <si>
    <t xml:space="preserve">Unclear lead credit; forgotten promises</t>
  </si>
  <si>
    <t xml:space="preserve">B-03</t>
  </si>
  <si>
    <t xml:space="preserve">Follow-up sequence</t>
  </si>
  <si>
    <t xml:space="preserve">Up to 2–3 spaced follow-ups with added value (example, audit point); stop after no response</t>
  </si>
  <si>
    <t xml:space="preserve">Most deals need follow-up; a cap prevents harassment</t>
  </si>
  <si>
    <t xml:space="preserve">Follow-up entries</t>
  </si>
  <si>
    <t xml:space="preserve">Message copies with dates</t>
  </si>
  <si>
    <t xml:space="preserve">10 min each</t>
  </si>
  <si>
    <t xml:space="preserve">Annoying prospects</t>
  </si>
  <si>
    <t xml:space="preserve">Endless follow-ups; no stop rule</t>
  </si>
  <si>
    <t xml:space="preserve">Lost warm leads</t>
  </si>
  <si>
    <t xml:space="preserve">B-04</t>
  </si>
  <si>
    <t xml:space="preserve">Share portfolio and case studies</t>
  </si>
  <si>
    <t xml:space="preserve">Send 2–3 relevant samples with outcome, scope and price band</t>
  </si>
  <si>
    <t xml:space="preserve">Proof reduces perceived risk</t>
  </si>
  <si>
    <t xml:space="preserve">Portfolio link/PDF</t>
  </si>
  <si>
    <t xml:space="preserve">Sent link record</t>
  </si>
  <si>
    <t xml:space="preserve">Showing client work without permission</t>
  </si>
  <si>
    <t xml:space="preserve">Showing unrelated work; outdated links</t>
  </si>
  <si>
    <t xml:space="preserve">Harder to close</t>
  </si>
  <si>
    <t xml:space="preserve">C-01</t>
  </si>
  <si>
    <t xml:space="preserve">C</t>
  </si>
  <si>
    <t xml:space="preserve">Qualification call</t>
  </si>
  <si>
    <t xml:space="preserve">15–30 min call covering need, decision-maker, budget range, timeline, existing assets</t>
  </si>
  <si>
    <t xml:space="preserve">Filters out bad-fit and non-paying clients early</t>
  </si>
  <si>
    <t xml:space="preserve">Qualification notes</t>
  </si>
  <si>
    <t xml:space="preserve">Call note in app</t>
  </si>
  <si>
    <t xml:space="preserve">Talking to someone without authority</t>
  </si>
  <si>
    <t xml:space="preserve">Skipping budget question; promising features on call</t>
  </si>
  <si>
    <t xml:space="preserve">Wasted discovery and proposal time</t>
  </si>
  <si>
    <t xml:space="preserve">C-02</t>
  </si>
  <si>
    <t xml:space="preserve">Go/no-go decision</t>
  </si>
  <si>
    <t xml:space="preserve">Decide proceed or decline using checklist: budget fit, timeline realism, legal business, red flags; record reason</t>
  </si>
  <si>
    <t xml:space="preserve">Protects capacity and cashflow</t>
  </si>
  <si>
    <t xml:space="preserve">Decision record</t>
  </si>
  <si>
    <t xml:space="preserve">Decision entry with reason</t>
  </si>
  <si>
    <t xml:space="preserve">10–20 min</t>
  </si>
  <si>
    <t xml:space="preserve">Taking every project, including toxic ones</t>
  </si>
  <si>
    <t xml:space="preserve">No written reason</t>
  </si>
  <si>
    <t xml:space="preserve">Scope/payment disputes later</t>
  </si>
  <si>
    <t xml:space="preserve">C-03</t>
  </si>
  <si>
    <t xml:space="preserve">Sales meeting or demo</t>
  </si>
  <si>
    <t xml:space="preserve">Present approach, process, timeline, samples; explain payment terms and ownership model upfront</t>
  </si>
  <si>
    <t xml:space="preserve">Sets expectations before numbers are discussed</t>
  </si>
  <si>
    <t xml:space="preserve">Meeting notes</t>
  </si>
  <si>
    <t xml:space="preserve">Meeting record + attendee list</t>
  </si>
  <si>
    <t xml:space="preserve">Medium</t>
  </si>
  <si>
    <t xml:space="preserve">1–2 h incl. prep</t>
  </si>
  <si>
    <t xml:space="preserve">Over-promising</t>
  </si>
  <si>
    <t xml:space="preserve">Not explaining client responsibilities</t>
  </si>
  <si>
    <t xml:space="preserve">Mismatched expectations</t>
  </si>
  <si>
    <t xml:space="preserve">C-04</t>
  </si>
  <si>
    <t xml:space="preserve">Pricing negotiation</t>
  </si>
  <si>
    <t xml:space="preserve">Negotiate by adjusting scope, not just price; record every concession in writing</t>
  </si>
  <si>
    <t xml:space="preserve">Discounts without scope change erode margin</t>
  </si>
  <si>
    <t xml:space="preserve">G-03</t>
  </si>
  <si>
    <t xml:space="preserve">Negotiation notes, revised proposal</t>
  </si>
  <si>
    <t xml:space="preserve">Email/notes, version history</t>
  </si>
  <si>
    <t xml:space="preserve">0.5–2 h</t>
  </si>
  <si>
    <t xml:space="preserve">Verbal concessions later disputed</t>
  </si>
  <si>
    <t xml:space="preserve">Cutting price but keeping scope</t>
  </si>
  <si>
    <t xml:space="preserve">Unprofitable project</t>
  </si>
  <si>
    <t xml:space="preserve">Cond</t>
  </si>
  <si>
    <t xml:space="preserve">C-05</t>
  </si>
  <si>
    <t xml:space="preserve">Client risk check</t>
  </si>
  <si>
    <t xml:space="preserve">Check GSTIN (if B2B), business legitimacy, prohibited content/activities, previous vendor disputes</t>
  </si>
  <si>
    <t xml:space="preserve">Avoid illegal sites and non-payers</t>
  </si>
  <si>
    <t xml:space="preserve">Risk checklist</t>
  </si>
  <si>
    <t xml:space="preserve">Checklist entry</t>
  </si>
  <si>
    <t xml:space="preserve">Building sites for unlawful businesses</t>
  </si>
  <si>
    <t xml:space="preserve">Ignoring red flags due to urgency</t>
  </si>
  <si>
    <t xml:space="preserve">Legal exposure, non-payment</t>
  </si>
  <si>
    <t xml:space="preserve">D-01</t>
  </si>
  <si>
    <t xml:space="preserve">D</t>
  </si>
  <si>
    <t xml:space="preserve">Discovery</t>
  </si>
  <si>
    <t xml:space="preserve">Send discovery questionnaire</t>
  </si>
  <si>
    <t xml:space="preserve">Send structured questionnaire (see Part 5) via form/doc with deadline</t>
  </si>
  <si>
    <t xml:space="preserve">Collects facts before the call; reduces call time</t>
  </si>
  <si>
    <t xml:space="preserve">PM</t>
  </si>
  <si>
    <t xml:space="preserve">Completed questionnaire</t>
  </si>
  <si>
    <t xml:space="preserve">Response file/link</t>
  </si>
  <si>
    <t xml:space="preserve">15 min to send</t>
  </si>
  <si>
    <t xml:space="preserve">Client ignores it</t>
  </si>
  <si>
    <t xml:space="preserve">Too long; no deadline</t>
  </si>
  <si>
    <t xml:space="preserve">Missing requirements discovered mid-build</t>
  </si>
  <si>
    <t xml:space="preserve">D-02</t>
  </si>
  <si>
    <t xml:space="preserve">Discovery meeting</t>
  </si>
  <si>
    <t xml:space="preserve">60–90 min structured meeting walking through goals, pages, features, content, accounts, timeline, budget</t>
  </si>
  <si>
    <t xml:space="preserve">Primary source of requirements</t>
  </si>
  <si>
    <t xml:space="preserve">Raw notes, recording (with consent)</t>
  </si>
  <si>
    <t xml:space="preserve">Meeting record, attendees</t>
  </si>
  <si>
    <t xml:space="preserve">1.5–3 h incl. prep</t>
  </si>
  <si>
    <t xml:space="preserve">Recording without consent; missing decision-maker</t>
  </si>
  <si>
    <t xml:space="preserve">Letting client design the solution on the call</t>
  </si>
  <si>
    <t xml:space="preserve">Wrong scope and estimate</t>
  </si>
  <si>
    <t xml:space="preserve">D-03</t>
  </si>
  <si>
    <t xml:space="preserve">Discovery summary to client</t>
  </si>
  <si>
    <t xml:space="preserve">Send written summary of what was understood, open questions, and next steps within 24–48 h</t>
  </si>
  <si>
    <t xml:space="preserve">Creates written record client can correct</t>
  </si>
  <si>
    <t xml:space="preserve">Summary email/doc</t>
  </si>
  <si>
    <t xml:space="preserve">Sent email</t>
  </si>
  <si>
    <t xml:space="preserve">Misunderstandings persisting</t>
  </si>
  <si>
    <t xml:space="preserve">Not asking client to confirm</t>
  </si>
  <si>
    <t xml:space="preserve">Disputes over what was said</t>
  </si>
  <si>
    <t xml:space="preserve">D-04</t>
  </si>
  <si>
    <t xml:space="preserve">Identify decision-maker and single point of contact</t>
  </si>
  <si>
    <t xml:space="preserve">Record who approves design, content, payments; one SPOC for feedback</t>
  </si>
  <si>
    <t xml:space="preserve">Prevents conflicting feedback from multiple people</t>
  </si>
  <si>
    <t xml:space="preserve">Stakeholder list</t>
  </si>
  <si>
    <t xml:space="preserve">Entry in project record</t>
  </si>
  <si>
    <t xml:space="preserve">10–15 min</t>
  </si>
  <si>
    <t xml:space="preserve">Late veto by an unseen owner</t>
  </si>
  <si>
    <t xml:space="preserve">Accepting feedback from anyone</t>
  </si>
  <si>
    <t xml:space="preserve">Endless revision loops</t>
  </si>
  <si>
    <t xml:space="preserve">D-05</t>
  </si>
  <si>
    <t xml:space="preserve">Existing assets and accounts audit</t>
  </si>
  <si>
    <t xml:space="preserve">Identify current domain registrar and registrant, hosting, email provider, DNS host, analytics, GBP, socials, and who holds logins</t>
  </si>
  <si>
    <t xml:space="preserve">Ownership problems block launch; must be found early</t>
  </si>
  <si>
    <t xml:space="preserve">Asset &amp; account register (draft)</t>
  </si>
  <si>
    <t xml:space="preserve">Register doc</t>
  </si>
  <si>
    <t xml:space="preserve">1–2 h</t>
  </si>
  <si>
    <t xml:space="preserve">Domain registered in a former vendor's name</t>
  </si>
  <si>
    <t xml:space="preserve">Assuming client controls their domain</t>
  </si>
  <si>
    <t xml:space="preserve">Launch blocked, emergency transfers</t>
  </si>
  <si>
    <t xml:space="preserve">E-01</t>
  </si>
  <si>
    <t xml:space="preserve">E</t>
  </si>
  <si>
    <t xml:space="preserve">Requirements Gathering</t>
  </si>
  <si>
    <t xml:space="preserve">Define goals and success metrics</t>
  </si>
  <si>
    <t xml:space="preserve">Agree 2–4 measurable goals (e.g., enquiries/month, calls, bookings) and how they will be measured</t>
  </si>
  <si>
    <t xml:space="preserve">Guides design priorities and later proves value</t>
  </si>
  <si>
    <t xml:space="preserve">Requirements</t>
  </si>
  <si>
    <t xml:space="preserve">Goals section in brief</t>
  </si>
  <si>
    <t xml:space="preserve">Approved brief</t>
  </si>
  <si>
    <t xml:space="preserve">Vague goals lead to subjective acceptance</t>
  </si>
  <si>
    <t xml:space="preserve">Promising outcomes (rankings, sales)</t>
  </si>
  <si>
    <t xml:space="preserve">No objective measure of success</t>
  </si>
  <si>
    <t xml:space="preserve">E-02</t>
  </si>
  <si>
    <t xml:space="preserve">Draft sitemap and page list</t>
  </si>
  <si>
    <t xml:space="preserve">List every page with purpose and priority; mark template vs unique pages</t>
  </si>
  <si>
    <t xml:space="preserve">Page count drives price and timeline</t>
  </si>
  <si>
    <t xml:space="preserve">Sitemap</t>
  </si>
  <si>
    <t xml:space="preserve">Sitemap file/diagram</t>
  </si>
  <si>
    <t xml:space="preserve">Page creep</t>
  </si>
  <si>
    <t xml:space="preserve">Not distinguishing templated vs unique pages</t>
  </si>
  <si>
    <t xml:space="preserve">Unbounded scope</t>
  </si>
  <si>
    <t xml:space="preserve">E-03</t>
  </si>
  <si>
    <t xml:space="preserve">Feature list with priorities</t>
  </si>
  <si>
    <t xml:space="preserve">List features (forms, booking, blog, gallery, payments, languages) marked Must/Should/Could/Won't</t>
  </si>
  <si>
    <t xml:space="preserve">Separates core scope from optional add-ons</t>
  </si>
  <si>
    <t xml:space="preserve">Feature list</t>
  </si>
  <si>
    <t xml:space="preserve">Requirements doc</t>
  </si>
  <si>
    <t xml:space="preserve">Hidden complex features</t>
  </si>
  <si>
    <t xml:space="preserve">Writing features without acceptance criteria</t>
  </si>
  <si>
    <t xml:space="preserve">Estimation errors</t>
  </si>
  <si>
    <t xml:space="preserve">E-04</t>
  </si>
  <si>
    <t xml:space="preserve">Content responsibility matrix</t>
  </si>
  <si>
    <t xml:space="preserve">For every page/section: who writes text, supplies images, approves, and by when</t>
  </si>
  <si>
    <t xml:space="preserve">Content delays are the most common cause of late projects</t>
  </si>
  <si>
    <t xml:space="preserve">Content matrix</t>
  </si>
  <si>
    <t xml:space="preserve">Matrix doc</t>
  </si>
  <si>
    <t xml:space="preserve">Developer silently becomes copywriter</t>
  </si>
  <si>
    <t xml:space="preserve">Assuming client will write</t>
  </si>
  <si>
    <t xml:space="preserve">Project stalls waiting for content</t>
  </si>
  <si>
    <t xml:space="preserve">E-05</t>
  </si>
  <si>
    <t xml:space="preserve">Integration and third-party inventory</t>
  </si>
  <si>
    <t xml:space="preserve">List every external service (maps, payments, booking, CRM, email), who creates the account, costs, and API limits</t>
  </si>
  <si>
    <t xml:space="preserve">Third-party accounts must be in client's name and ready before build</t>
  </si>
  <si>
    <t xml:space="preserve">Integration register</t>
  </si>
  <si>
    <t xml:space="preserve">Paid services on developer card</t>
  </si>
  <si>
    <t xml:space="preserve">Creating accounts in developer's name</t>
  </si>
  <si>
    <t xml:space="preserve">Ownership disputes, surprise costs</t>
  </si>
  <si>
    <t xml:space="preserve">E-06</t>
  </si>
  <si>
    <t xml:space="preserve">Non-functional requirements</t>
  </si>
  <si>
    <t xml:space="preserve">Agree supported browsers/devices, accessibility target, performance targets, languages, hosting region, uptime expectations</t>
  </si>
  <si>
    <t xml:space="preserve">These drive testing effort and cost</t>
  </si>
  <si>
    <t xml:space="preserve">NFR section</t>
  </si>
  <si>
    <t xml:space="preserve">Client assumes IE-era or all devices</t>
  </si>
  <si>
    <t xml:space="preserve">Leaving targets unstated</t>
  </si>
  <si>
    <t xml:space="preserve">Endless 'it looks wrong on my phone' disputes</t>
  </si>
  <si>
    <t xml:space="preserve">E-07</t>
  </si>
  <si>
    <t xml:space="preserve">Requirements sign-off</t>
  </si>
  <si>
    <t xml:space="preserve">Client confirms requirements document in writing (e-sign or email 'approved')</t>
  </si>
  <si>
    <t xml:space="preserve">Baseline for all later change requests</t>
  </si>
  <si>
    <t xml:space="preserve">E-01..E-06</t>
  </si>
  <si>
    <t xml:space="preserve">Signed requirements</t>
  </si>
  <si>
    <t xml:space="preserve">Signed doc/email</t>
  </si>
  <si>
    <t xml:space="preserve">Client later claims features were 'obvious'</t>
  </si>
  <si>
    <t xml:space="preserve">Oral approval only</t>
  </si>
  <si>
    <t xml:space="preserve">No baseline for scope control</t>
  </si>
  <si>
    <t xml:space="preserve">F-01</t>
  </si>
  <si>
    <t xml:space="preserve">F</t>
  </si>
  <si>
    <t xml:space="preserve">Scope Definition</t>
  </si>
  <si>
    <t xml:space="preserve">Write inclusions list</t>
  </si>
  <si>
    <t xml:space="preserve">Enumerate exactly what is delivered: pages, templates, features, integrations, content work, rounds, training, warranty days</t>
  </si>
  <si>
    <t xml:space="preserve">Clear inclusions prevent 'I thought that was included'</t>
  </si>
  <si>
    <t xml:space="preserve">Scope</t>
  </si>
  <si>
    <t xml:space="preserve">Scope inclusions</t>
  </si>
  <si>
    <t xml:space="preserve">Scope doc</t>
  </si>
  <si>
    <t xml:space="preserve">Ambiguous words like 'basic SEO'</t>
  </si>
  <si>
    <t xml:space="preserve">Using vague nouns</t>
  </si>
  <si>
    <t xml:space="preserve">Scope creep</t>
  </si>
  <si>
    <t xml:space="preserve">F-02</t>
  </si>
  <si>
    <t xml:space="preserve">Write exclusions and assumptions</t>
  </si>
  <si>
    <t xml:space="preserve">List what is NOT included (copywriting, logo, photos, paid ads, content entry beyond X pages, third-party fees) and assumptions (content supplied by date, one SPOC)</t>
  </si>
  <si>
    <t xml:space="preserve">Exclusions carry as much weight as inclusions</t>
  </si>
  <si>
    <t xml:space="preserve">Exclusions/assumptions list</t>
  </si>
  <si>
    <t xml:space="preserve">Unpriced work demanded later</t>
  </si>
  <si>
    <t xml:space="preserve">Forgetting third-party fees and renewals</t>
  </si>
  <si>
    <t xml:space="preserve">Unpaid extra work</t>
  </si>
  <si>
    <t xml:space="preserve">F-03</t>
  </si>
  <si>
    <t xml:space="preserve">Define revision rounds</t>
  </si>
  <si>
    <t xml:space="preserve">Specify number of rounds per stage, what a round is (one consolidated list), and what counts as a change request</t>
  </si>
  <si>
    <t xml:space="preserve">Unlimited revisions are the top profit killer</t>
  </si>
  <si>
    <t xml:space="preserve">Revision policy</t>
  </si>
  <si>
    <t xml:space="preserve">Piecemeal feedback treated as one round</t>
  </si>
  <si>
    <t xml:space="preserve">Saying 'unlimited revisions'</t>
  </si>
  <si>
    <t xml:space="preserve">Endless loops</t>
  </si>
  <si>
    <t xml:space="preserve">F-04</t>
  </si>
  <si>
    <t xml:space="preserve">Define client responsibilities and feedback SLAs</t>
  </si>
  <si>
    <t xml:space="preserve">Client duties: content, approvals within N working days, account creation, payments; effect of delay on timeline</t>
  </si>
  <si>
    <t xml:space="preserve">Client delays must shift deadlines, not your margins</t>
  </si>
  <si>
    <t xml:space="preserve">Responsibilities section</t>
  </si>
  <si>
    <t xml:space="preserve">Blame for client-caused delay</t>
  </si>
  <si>
    <t xml:space="preserve">No consequence stated for delay</t>
  </si>
  <si>
    <t xml:space="preserve">Timeline disputes</t>
  </si>
  <si>
    <t xml:space="preserve">F-05</t>
  </si>
  <si>
    <t xml:space="preserve">Define milestones and acceptance criteria</t>
  </si>
  <si>
    <t xml:space="preserve">Milestones (design, build, UAT, launch) with measurable acceptance tests and deemed-acceptance rule</t>
  </si>
  <si>
    <t xml:space="preserve">Links payments to objective checkpoints</t>
  </si>
  <si>
    <t xml:space="preserve">Milestone table</t>
  </si>
  <si>
    <t xml:space="preserve">Subjective 'not happy' rejections</t>
  </si>
  <si>
    <t xml:space="preserve">Acceptance with no time limit</t>
  </si>
  <si>
    <t xml:space="preserve">Payments stuck indefinitely</t>
  </si>
  <si>
    <t xml:space="preserve">G-01</t>
  </si>
  <si>
    <t xml:space="preserve">G</t>
  </si>
  <si>
    <t xml:space="preserve">Proposal/Quotation</t>
  </si>
  <si>
    <t xml:space="preserve">Bottom-up effort estimate</t>
  </si>
  <si>
    <t xml:space="preserve">Estimate each task from the task library with low/high range, add risk buffer (10–25%)</t>
  </si>
  <si>
    <t xml:space="preserve">Pricing from effort beats guessing</t>
  </si>
  <si>
    <t xml:space="preserve">Proposal</t>
  </si>
  <si>
    <t xml:space="preserve">F-01..F-05</t>
  </si>
  <si>
    <t xml:space="preserve">Estimate sheet</t>
  </si>
  <si>
    <t xml:space="preserve">Sheet with version</t>
  </si>
  <si>
    <t xml:space="preserve">1–3 h</t>
  </si>
  <si>
    <t xml:space="preserve">Under-pricing</t>
  </si>
  <si>
    <t xml:space="preserve">Forgetting QA, PM, communication time</t>
  </si>
  <si>
    <t xml:space="preserve">Loss-making project</t>
  </si>
  <si>
    <t xml:space="preserve">G-02</t>
  </si>
  <si>
    <t xml:space="preserve">Price calculation</t>
  </si>
  <si>
    <t xml:space="preserve">Convert effort to price; add third-party costs (pass-through or client-paid), GST if registered, contingency; set payment split</t>
  </si>
  <si>
    <t xml:space="preserve">Makes margin and taxes explicit</t>
  </si>
  <si>
    <t xml:space="preserve">Pricing sheet</t>
  </si>
  <si>
    <t xml:space="preserve">Sheet</t>
  </si>
  <si>
    <t xml:space="preserve">GST omitted from quoted price</t>
  </si>
  <si>
    <t xml:space="preserve">Quoting inclusive/exclusive of GST ambiguously</t>
  </si>
  <si>
    <t xml:space="preserve">Margin loss or tax dispute</t>
  </si>
  <si>
    <t xml:space="preserve">Prepare proposal</t>
  </si>
  <si>
    <t xml:space="preserve">Proposal with problem, solution, scope summary, timeline, price, payment schedule, ownership model, validity date</t>
  </si>
  <si>
    <t xml:space="preserve">Sells and sets expectations</t>
  </si>
  <si>
    <t xml:space="preserve">Proposal PDF/doc</t>
  </si>
  <si>
    <t xml:space="preserve">Versioned file</t>
  </si>
  <si>
    <t xml:space="preserve">2–4 h</t>
  </si>
  <si>
    <t xml:space="preserve">Proposal contradicts scope doc</t>
  </si>
  <si>
    <t xml:space="preserve">No validity date; no exclusions</t>
  </si>
  <si>
    <t xml:space="preserve">Disputes, stale prices</t>
  </si>
  <si>
    <t xml:space="preserve">G-04</t>
  </si>
  <si>
    <t xml:space="preserve">Formal quotation</t>
  </si>
  <si>
    <t xml:space="preserve">Itemised quotation with GSTIN/SAC and tax lines if registered, validity, terms reference</t>
  </si>
  <si>
    <t xml:space="preserve">Some clients need a formal quote for internal approval/accounting</t>
  </si>
  <si>
    <t xml:space="preserve">Quotation</t>
  </si>
  <si>
    <t xml:space="preserve">Quote number and file</t>
  </si>
  <si>
    <t xml:space="preserve">0.5 h</t>
  </si>
  <si>
    <t xml:space="preserve">Tax details wrong</t>
  </si>
  <si>
    <t xml:space="preserve">Mixing quote and invoice</t>
  </si>
  <si>
    <t xml:space="preserve">Client accounting rejects it</t>
  </si>
  <si>
    <t xml:space="preserve">G-05</t>
  </si>
  <si>
    <t xml:space="preserve">Proposal walkthrough</t>
  </si>
  <si>
    <t xml:space="preserve">Walk client through proposal; answer questions; log objections</t>
  </si>
  <si>
    <t xml:space="preserve">Increases close rate, surfaces misunderstandings</t>
  </si>
  <si>
    <t xml:space="preserve">Call notes</t>
  </si>
  <si>
    <t xml:space="preserve">Meeting record</t>
  </si>
  <si>
    <t xml:space="preserve">Unrecorded promises</t>
  </si>
  <si>
    <t xml:space="preserve">Adding scope verbally</t>
  </si>
  <si>
    <t xml:space="preserve">Disputes</t>
  </si>
  <si>
    <t xml:space="preserve">G-06</t>
  </si>
  <si>
    <t xml:space="preserve">Revise proposal</t>
  </si>
  <si>
    <t xml:space="preserve">Update scope/price after negotiation; increment version; mark superseded</t>
  </si>
  <si>
    <t xml:space="preserve">Only one current version should exist</t>
  </si>
  <si>
    <t xml:space="preserve">Proposal v2+</t>
  </si>
  <si>
    <t xml:space="preserve">Version history</t>
  </si>
  <si>
    <t xml:space="preserve">[CONDITIONAL]</t>
  </si>
  <si>
    <t xml:space="preserve">Client signs outdated version</t>
  </si>
  <si>
    <t xml:space="preserve">Editing without version numbers</t>
  </si>
  <si>
    <t xml:space="preserve">Contract mismatch</t>
  </si>
  <si>
    <t xml:space="preserve">H-01</t>
  </si>
  <si>
    <t xml:space="preserve">H</t>
  </si>
  <si>
    <t xml:space="preserve">Contract/Agreement</t>
  </si>
  <si>
    <t xml:space="preserve">Adapt contract template</t>
  </si>
  <si>
    <t xml:space="preserve">Start from lawyer-reviewed master services agreement; select project schedule; do not edit core clauses ad hoc</t>
  </si>
  <si>
    <t xml:space="preserve">Consistent, reviewed terms reduce legal risk</t>
  </si>
  <si>
    <t xml:space="preserve">Contract</t>
  </si>
  <si>
    <t xml:space="preserve">G-03 accepted</t>
  </si>
  <si>
    <t xml:space="preserve">Draft contract</t>
  </si>
  <si>
    <t xml:space="preserve">Draft file</t>
  </si>
  <si>
    <t xml:space="preserve">Using internet templates with foreign law</t>
  </si>
  <si>
    <t xml:space="preserve">Changing clauses per client without review</t>
  </si>
  <si>
    <t xml:space="preserve">Unenforceable or conflicting terms</t>
  </si>
  <si>
    <t xml:space="preserve">H-02</t>
  </si>
  <si>
    <t xml:space="preserve">Fill statement of work schedule</t>
  </si>
  <si>
    <t xml:space="preserve">Attach scope, milestones, payment schedule, revision policy, timeline, client duties as a schedule to the contract</t>
  </si>
  <si>
    <t xml:space="preserve">Keeps legal terms stable and project details specific</t>
  </si>
  <si>
    <t xml:space="preserve">H-01, F-01..F-05</t>
  </si>
  <si>
    <t xml:space="preserve">SOW schedule</t>
  </si>
  <si>
    <t xml:space="preserve">Contract annex</t>
  </si>
  <si>
    <t xml:space="preserve">Scope doc and contract disagree</t>
  </si>
  <si>
    <t xml:space="preserve">Referring to 'as discussed'</t>
  </si>
  <si>
    <t xml:space="preserve">Ambiguous obligations</t>
  </si>
  <si>
    <t xml:space="preserve">H-03</t>
  </si>
  <si>
    <t xml:space="preserve">IP, ownership and licence check</t>
  </si>
  <si>
    <t xml:space="preserve">Confirm clause: what is assigned (in writing, with duration/territory), what is licensed (pre-existing code, libraries, templates), third-party licences, portfolio rights</t>
  </si>
  <si>
    <t xml:space="preserve">Indian copyright assignment has statutory formalities; silence creates default rules</t>
  </si>
  <si>
    <t xml:space="preserve">IP clause checklist</t>
  </si>
  <si>
    <t xml:space="preserve">Client assumes payment = ownership of everything incl. your reusable code</t>
  </si>
  <si>
    <t xml:space="preserve">Assigning your reusable framework</t>
  </si>
  <si>
    <t xml:space="preserve">Ownership dispute</t>
  </si>
  <si>
    <t xml:space="preserve">H-04</t>
  </si>
  <si>
    <t xml:space="preserve">Confidentiality and data-processing terms</t>
  </si>
  <si>
    <t xml:space="preserve">Add confidentiality; if you will access/process personal data (form leads, customers), add processor-style terms: purpose, security, deletion, breach notice</t>
  </si>
  <si>
    <t xml:space="preserve">DPDP Act expects fiduciaries to use processors under a valid contract</t>
  </si>
  <si>
    <t xml:space="preserve">Data terms</t>
  </si>
  <si>
    <t xml:space="preserve">Contract clause</t>
  </si>
  <si>
    <t xml:space="preserve">Handling client customer data without terms</t>
  </si>
  <si>
    <t xml:space="preserve">Copy-pasting GDPR clauses</t>
  </si>
  <si>
    <t xml:space="preserve">Liability exposure</t>
  </si>
  <si>
    <t xml:space="preserve">H-05</t>
  </si>
  <si>
    <t xml:space="preserve">Execute contract</t>
  </si>
  <si>
    <t xml:space="preserve">Both parties sign (e-sign/wet); store final PDF; record date, version, signatories and authority</t>
  </si>
  <si>
    <t xml:space="preserve">A signed contract is the core evidence in any dispute</t>
  </si>
  <si>
    <t xml:space="preserve">H-02..H-04</t>
  </si>
  <si>
    <t xml:space="preserve">Signed contract</t>
  </si>
  <si>
    <t xml:space="preserve">Signed PDF + audit trail</t>
  </si>
  <si>
    <t xml:space="preserve">Unsigned or wrong version</t>
  </si>
  <si>
    <t xml:space="preserve">Starting work before signature</t>
  </si>
  <si>
    <t xml:space="preserve">Weak enforceability</t>
  </si>
  <si>
    <t xml:space="preserve">H-06</t>
  </si>
  <si>
    <t xml:space="preserve">Stamp duty check</t>
  </si>
  <si>
    <t xml:space="preserve">Check applicable state stamp duty for the agreement type/value; pay via e-stamp if required</t>
  </si>
  <si>
    <t xml:space="preserve">Unstamped instruments can be inadmissible in evidence until duty and penalty are paid</t>
  </si>
  <si>
    <t xml:space="preserve">E-stamp certificate (if applicable)</t>
  </si>
  <si>
    <t xml:space="preserve">Certificate file</t>
  </si>
  <si>
    <t xml:space="preserve">15–60 min</t>
  </si>
  <si>
    <t xml:space="preserve">Evidence problems in court/arbitration</t>
  </si>
  <si>
    <t xml:space="preserve">Assuming email contracts never need stamping</t>
  </si>
  <si>
    <t xml:space="preserve">Delay and penalty when enforcing</t>
  </si>
  <si>
    <t xml:space="preserve">I-01</t>
  </si>
  <si>
    <t xml:space="preserve">I</t>
  </si>
  <si>
    <t xml:space="preserve">Payment/Invoice</t>
  </si>
  <si>
    <t xml:space="preserve">Raise advance invoice</t>
  </si>
  <si>
    <t xml:space="preserve">Issue invoice for advance (e.g., 30–50%) with correct GST details if registered</t>
  </si>
  <si>
    <t xml:space="preserve">Advance funds work and filters non-serious clients</t>
  </si>
  <si>
    <t xml:space="preserve">Payment</t>
  </si>
  <si>
    <t xml:space="preserve">Advance invoice</t>
  </si>
  <si>
    <t xml:space="preserve">Invoice number/file</t>
  </si>
  <si>
    <t xml:space="preserve">Starting without advance</t>
  </si>
  <si>
    <t xml:space="preserve">Invoice without GSTIN/SAC when registered</t>
  </si>
  <si>
    <t xml:space="preserve">Cash risk, tax non-compliance</t>
  </si>
  <si>
    <t xml:space="preserve">I-02</t>
  </si>
  <si>
    <t xml:space="preserve">Confirm advance receipt</t>
  </si>
  <si>
    <t xml:space="preserve">Match bank credit to invoice; issue receipt/acknowledgement; record TDS if deducted</t>
  </si>
  <si>
    <t xml:space="preserve">Work starts only on confirmed funds</t>
  </si>
  <si>
    <t xml:space="preserve">Receipt</t>
  </si>
  <si>
    <t xml:space="preserve">Bank reference, receipt file</t>
  </si>
  <si>
    <t xml:space="preserve">Fake payment screenshots</t>
  </si>
  <si>
    <t xml:space="preserve">Trusting screenshots instead of bank credit</t>
  </si>
  <si>
    <t xml:space="preserve">Unpaid work</t>
  </si>
  <si>
    <t xml:space="preserve">I-03</t>
  </si>
  <si>
    <t xml:space="preserve">Milestone invoices</t>
  </si>
  <si>
    <t xml:space="preserve">Invoice each milestone on acceptance or deemed acceptance</t>
  </si>
  <si>
    <t xml:space="preserve">Keeps cashflow aligned with delivery</t>
  </si>
  <si>
    <t xml:space="preserve">Invoice files</t>
  </si>
  <si>
    <t xml:space="preserve">15 min each</t>
  </si>
  <si>
    <t xml:space="preserve">Invoicing late</t>
  </si>
  <si>
    <t xml:space="preserve">Waiting for 'final' before any invoice</t>
  </si>
  <si>
    <t xml:space="preserve">Cashflow gaps</t>
  </si>
  <si>
    <t xml:space="preserve">I-04</t>
  </si>
  <si>
    <t xml:space="preserve">TDS tracking and reconciliation</t>
  </si>
  <si>
    <t xml:space="preserve">Record TDS deducted by client, check it appears in Form 26AS/AIS, request TDS certificate</t>
  </si>
  <si>
    <t xml:space="preserve">You can only claim credit for TDS that is deposited and reported</t>
  </si>
  <si>
    <t xml:space="preserve">TDS register</t>
  </si>
  <si>
    <t xml:space="preserve">Register + certificates</t>
  </si>
  <si>
    <t xml:space="preserve">15 min/invoice</t>
  </si>
  <si>
    <t xml:space="preserve">TDS deducted but not deposited</t>
  </si>
  <si>
    <t xml:space="preserve">Not reconciling quarterly</t>
  </si>
  <si>
    <t xml:space="preserve">Lost tax credit</t>
  </si>
  <si>
    <t xml:space="preserve">I-05</t>
  </si>
  <si>
    <t xml:space="preserve">Payment follow-up</t>
  </si>
  <si>
    <t xml:space="preserve">Polite reminders at due date, +7, +14 days; escalate per contract; log each</t>
  </si>
  <si>
    <t xml:space="preserve">Late payment is common; a process removes awkwardness</t>
  </si>
  <si>
    <t xml:space="preserve">Follow-up log</t>
  </si>
  <si>
    <t xml:space="preserve">Messages/emails</t>
  </si>
  <si>
    <t xml:space="preserve">10–20 min each</t>
  </si>
  <si>
    <t xml:space="preserve">Relationship damage</t>
  </si>
  <si>
    <t xml:space="preserve">Continuing work while overdue</t>
  </si>
  <si>
    <t xml:space="preserve">Growing unpaid balance</t>
  </si>
  <si>
    <t xml:space="preserve">I-06</t>
  </si>
  <si>
    <t xml:space="preserve">Record project expenses</t>
  </si>
  <si>
    <t xml:space="preserve">Record every third-party purchase (theme, plugin, stock image, domain) with bill, payer, reimbursable flag</t>
  </si>
  <si>
    <t xml:space="preserve">Expenses affect profit split and client billing</t>
  </si>
  <si>
    <t xml:space="preserve">Expense entries</t>
  </si>
  <si>
    <t xml:space="preserve">Bills/receipts</t>
  </si>
  <si>
    <t xml:space="preserve">5 min each</t>
  </si>
  <si>
    <t xml:space="preserve">Partner paid personally without record</t>
  </si>
  <si>
    <t xml:space="preserve">Losing bills</t>
  </si>
  <si>
    <t xml:space="preserve">Unfair split; tax deduction loss</t>
  </si>
  <si>
    <t xml:space="preserve">Conditional — depends on scope</t>
  </si>
  <si>
    <t xml:space="preserve">J-01</t>
  </si>
  <si>
    <t xml:space="preserve">J</t>
  </si>
  <si>
    <t xml:space="preserve">Project Setup</t>
  </si>
  <si>
    <t xml:space="preserve">Create project record and folder structure</t>
  </si>
  <si>
    <t xml:space="preserve">Create project in tracking app and shared drive with standard folders (01-Contract, 02-Brief, 03-Content, 04-Design, 05-Dev, 06-QA, 07-Launch, 08-Handover, 09-Finance)</t>
  </si>
  <si>
    <t xml:space="preserve">Standard structure makes evidence findable and handover easy</t>
  </si>
  <si>
    <t xml:space="preserve">Kickoff</t>
  </si>
  <si>
    <t xml:space="preserve">H-05, I-02</t>
  </si>
  <si>
    <t xml:space="preserve">Project record, folders</t>
  </si>
  <si>
    <t xml:space="preserve">Folder link, app record</t>
  </si>
  <si>
    <t xml:space="preserve">Files scattered across chats</t>
  </si>
  <si>
    <t xml:space="preserve">Personal drives for client files</t>
  </si>
  <si>
    <t xml:space="preserve">Lost evidence, messy handover</t>
  </si>
  <si>
    <t xml:space="preserve">J-02</t>
  </si>
  <si>
    <t xml:space="preserve">Create task board and milestones</t>
  </si>
  <si>
    <t xml:space="preserve">Import default tasks from library, delete irrelevant ones, set owners, due dates, milestones</t>
  </si>
  <si>
    <t xml:space="preserve">Visible plan avoids forgotten work and supports contribution tracking</t>
  </si>
  <si>
    <t xml:space="preserve">Task board</t>
  </si>
  <si>
    <t xml:space="preserve">Board snapshot</t>
  </si>
  <si>
    <t xml:space="preserve">Plan drifts from contract</t>
  </si>
  <si>
    <t xml:space="preserve">Not removing irrelevant tasks</t>
  </si>
  <si>
    <t xml:space="preserve">Missed deliverables</t>
  </si>
  <si>
    <t xml:space="preserve">J-03</t>
  </si>
  <si>
    <t xml:space="preserve">Set up client communication channel and rules</t>
  </si>
  <si>
    <t xml:space="preserve">Choose official channels (email for decisions, WhatsApp group for quick coordination), response times, working hours, SPOC</t>
  </si>
  <si>
    <t xml:space="preserve">Decisions buried in chats cause disputes</t>
  </si>
  <si>
    <t xml:space="preserve">Communication plan</t>
  </si>
  <si>
    <t xml:space="preserve">Kickoff note</t>
  </si>
  <si>
    <t xml:space="preserve">Late-night demands</t>
  </si>
  <si>
    <t xml:space="preserve">Taking approvals over voice calls only</t>
  </si>
  <si>
    <t xml:space="preserve">Lost decisions</t>
  </si>
  <si>
    <t xml:space="preserve">J-04</t>
  </si>
  <si>
    <t xml:space="preserve">Create repository</t>
  </si>
  <si>
    <t xml:space="preserve">Create repo (ideally in a business-owned organization or client-owned org), branch protection, README stub, .gitignore excluding secrets</t>
  </si>
  <si>
    <t xml:space="preserve">Version control is evidence and safety net</t>
  </si>
  <si>
    <t xml:space="preserve">FE/BE</t>
  </si>
  <si>
    <t xml:space="preserve">Repository</t>
  </si>
  <si>
    <t xml:space="preserve">Repo URL, first commit</t>
  </si>
  <si>
    <t xml:space="preserve">Repo in personal account hard to transfer</t>
  </si>
  <si>
    <t xml:space="preserve">Committing .env files</t>
  </si>
  <si>
    <t xml:space="preserve">Leaked secrets; messy transfer</t>
  </si>
  <si>
    <t xml:space="preserve">J-05</t>
  </si>
  <si>
    <t xml:space="preserve">Set up dev and staging environments</t>
  </si>
  <si>
    <t xml:space="preserve">Local dev setup, password-protected or noindex staging URL for client review</t>
  </si>
  <si>
    <t xml:space="preserve">Client reviews must not be indexed or public</t>
  </si>
  <si>
    <t xml:space="preserve">DevOps</t>
  </si>
  <si>
    <t xml:space="preserve">Staging URL</t>
  </si>
  <si>
    <t xml:space="preserve">URL + access note</t>
  </si>
  <si>
    <t xml:space="preserve">Staging indexed by Google; client data on public staging</t>
  </si>
  <si>
    <t xml:space="preserve">No auth on staging</t>
  </si>
  <si>
    <t xml:space="preserve">Duplicate content, leaked unfinished site</t>
  </si>
  <si>
    <t xml:space="preserve">J-06</t>
  </si>
  <si>
    <t xml:space="preserve">Project credential vault</t>
  </si>
  <si>
    <t xml:space="preserve">Create shared vault (password manager) for project credentials with item naming convention</t>
  </si>
  <si>
    <t xml:space="preserve">Credentials must never live in chats or docs</t>
  </si>
  <si>
    <t xml:space="preserve">Vault folder</t>
  </si>
  <si>
    <t xml:space="preserve">Vault entry list (names only)</t>
  </si>
  <si>
    <t xml:space="preserve">Credentials in WhatsApp</t>
  </si>
  <si>
    <t xml:space="preserve">Sharing master passwords</t>
  </si>
  <si>
    <t xml:space="preserve">Account compromise</t>
  </si>
  <si>
    <t xml:space="preserve">J-07</t>
  </si>
  <si>
    <t xml:space="preserve">Kickoff meeting</t>
  </si>
  <si>
    <t xml:space="preserve">Walk through plan, timeline, responsibilities, content deadlines, communication rules, next steps; send notes</t>
  </si>
  <si>
    <t xml:space="preserve">Aligns everyone at the start</t>
  </si>
  <si>
    <t xml:space="preserve">J-02, J-03</t>
  </si>
  <si>
    <t xml:space="preserve">Kickoff notes</t>
  </si>
  <si>
    <t xml:space="preserve">Meeting record + sent notes</t>
  </si>
  <si>
    <t xml:space="preserve">1–1.5 h incl. notes</t>
  </si>
  <si>
    <t xml:space="preserve">Unclear first steps</t>
  </si>
  <si>
    <t xml:space="preserve">No written follow-up</t>
  </si>
  <si>
    <t xml:space="preserve">Misaligned expectations</t>
  </si>
  <si>
    <t xml:space="preserve">J-08</t>
  </si>
  <si>
    <t xml:space="preserve">Internal task assignment and point pre-estimate</t>
  </si>
  <si>
    <t xml:space="preserve">Partners agree owners and default points for each task before work starts; lock the plan</t>
  </si>
  <si>
    <t xml:space="preserve">Pre-agreement is the strongest defence against later point disputes</t>
  </si>
  <si>
    <t xml:space="preserve">Either (both confirm)</t>
  </si>
  <si>
    <t xml:space="preserve">Locked task plan</t>
  </si>
  <si>
    <t xml:space="preserve">App lock record with both confirmations</t>
  </si>
  <si>
    <t xml:space="preserve">Points assigned after the fact</t>
  </si>
  <si>
    <t xml:space="preserve">One partner assigning all points</t>
  </si>
  <si>
    <t xml:space="preserve">Split disputes</t>
  </si>
  <si>
    <t xml:space="preserve">K-01</t>
  </si>
  <si>
    <t xml:space="preserve">K</t>
  </si>
  <si>
    <t xml:space="preserve">Client Communication</t>
  </si>
  <si>
    <t xml:space="preserve">Weekly progress update</t>
  </si>
  <si>
    <t xml:space="preserve">Short written update: done, next, blockers, decisions needed, client actions pending</t>
  </si>
  <si>
    <t xml:space="preserve">Keeps client informed and documents delays</t>
  </si>
  <si>
    <t xml:space="preserve">Throughout</t>
  </si>
  <si>
    <t xml:space="preserve">Update message</t>
  </si>
  <si>
    <t xml:space="preserve">Sent email/message</t>
  </si>
  <si>
    <t xml:space="preserve">15–30 min/week</t>
  </si>
  <si>
    <t xml:space="preserve">Silence breeds anxiety</t>
  </si>
  <si>
    <t xml:space="preserve">Only updating when asked</t>
  </si>
  <si>
    <t xml:space="preserve">Trust erosion; delay disputes</t>
  </si>
  <si>
    <t xml:space="preserve">K-02</t>
  </si>
  <si>
    <t xml:space="preserve">Meeting scheduling and agenda</t>
  </si>
  <si>
    <t xml:space="preserve">Send invite with agenda, goal, attendees, materials</t>
  </si>
  <si>
    <t xml:space="preserve">Focused meetings are shorter</t>
  </si>
  <si>
    <t xml:space="preserve">Invite + agenda</t>
  </si>
  <si>
    <t xml:space="preserve">Calendar invite</t>
  </si>
  <si>
    <t xml:space="preserve">10 min</t>
  </si>
  <si>
    <t xml:space="preserve">Unprepared meetings</t>
  </si>
  <si>
    <t xml:space="preserve">No agenda</t>
  </si>
  <si>
    <t xml:space="preserve">Wasted time</t>
  </si>
  <si>
    <t xml:space="preserve">K-03</t>
  </si>
  <si>
    <t xml:space="preserve">Meeting notes and action items</t>
  </si>
  <si>
    <t xml:space="preserve">Notes within 24 h: decisions, actions with owner and due date, open questions; client asked to correct</t>
  </si>
  <si>
    <t xml:space="preserve">Written record of what was decided</t>
  </si>
  <si>
    <t xml:space="preserve">Any meeting</t>
  </si>
  <si>
    <t xml:space="preserve">Notes</t>
  </si>
  <si>
    <t xml:space="preserve">Sent notes</t>
  </si>
  <si>
    <t xml:space="preserve">Disputed recollection</t>
  </si>
  <si>
    <t xml:space="preserve">Notes not shared with client</t>
  </si>
  <si>
    <t xml:space="preserve">'We never agreed to that'</t>
  </si>
  <si>
    <t xml:space="preserve">K-04</t>
  </si>
  <si>
    <t xml:space="preserve">Decision log</t>
  </si>
  <si>
    <t xml:space="preserve">Maintain log of decisions: date, decision, who approved, source link</t>
  </si>
  <si>
    <t xml:space="preserve">Single source of truth for scope decisions</t>
  </si>
  <si>
    <t xml:space="preserve">Log entries</t>
  </si>
  <si>
    <t xml:space="preserve">5 min/entry</t>
  </si>
  <si>
    <t xml:space="preserve">Contradictory decisions</t>
  </si>
  <si>
    <t xml:space="preserve">Decisions only in chat</t>
  </si>
  <si>
    <t xml:space="preserve">Rework</t>
  </si>
  <si>
    <t xml:space="preserve">K-05</t>
  </si>
  <si>
    <t xml:space="preserve">Escalation handling</t>
  </si>
  <si>
    <t xml:space="preserve">Handle serious issues (delays, payment, conflict) by call plus written summary with options</t>
  </si>
  <si>
    <t xml:space="preserve">Structured escalation prevents disputes growing</t>
  </si>
  <si>
    <t xml:space="preserve">As needed</t>
  </si>
  <si>
    <t xml:space="preserve">Escalation note</t>
  </si>
  <si>
    <t xml:space="preserve">Note + client response</t>
  </si>
  <si>
    <t xml:space="preserve">Optional</t>
  </si>
  <si>
    <t xml:space="preserve">Emotional reactions</t>
  </si>
  <si>
    <t xml:space="preserve">Arguing on WhatsApp</t>
  </si>
  <si>
    <t xml:space="preserve">Relationship breakdown</t>
  </si>
  <si>
    <t xml:space="preserve">L-01</t>
  </si>
  <si>
    <t xml:space="preserve">L</t>
  </si>
  <si>
    <t xml:space="preserve">Research</t>
  </si>
  <si>
    <t xml:space="preserve">Industry and business research</t>
  </si>
  <si>
    <t xml:space="preserve">Understand client's services, customer questions, regulatory/professional display norms to confirm with client</t>
  </si>
  <si>
    <t xml:space="preserve">Informs structure and copy</t>
  </si>
  <si>
    <t xml:space="preserve">Content/PM</t>
  </si>
  <si>
    <t xml:space="preserve">Research notes</t>
  </si>
  <si>
    <t xml:space="preserve">Notes doc with URLs</t>
  </si>
  <si>
    <t xml:space="preserve">Wrong assumptions</t>
  </si>
  <si>
    <t xml:space="preserve">Skipping for 'simple' sites</t>
  </si>
  <si>
    <t xml:space="preserve">Generic site</t>
  </si>
  <si>
    <t xml:space="preserve">L-02</t>
  </si>
  <si>
    <t xml:space="preserve">Audience and user needs</t>
  </si>
  <si>
    <t xml:space="preserve">Define 2–3 audience types, their key questions, devices, languages</t>
  </si>
  <si>
    <t xml:space="preserve">Drives content hierarchy and CTAs</t>
  </si>
  <si>
    <t xml:space="preserve">Design/Content</t>
  </si>
  <si>
    <t xml:space="preserve">Audience notes</t>
  </si>
  <si>
    <t xml:space="preserve">Doc</t>
  </si>
  <si>
    <t xml:space="preserve">Designing for the client's taste only</t>
  </si>
  <si>
    <t xml:space="preserve">Skipping mobile-first reality</t>
  </si>
  <si>
    <t xml:space="preserve">Poor conversion</t>
  </si>
  <si>
    <t xml:space="preserve">L-03</t>
  </si>
  <si>
    <t xml:space="preserve">Keyword and local search research</t>
  </si>
  <si>
    <t xml:space="preserve">Find search terms (service + locality), questions, and competitor terms; map to pages</t>
  </si>
  <si>
    <t xml:space="preserve">Basis for on-page SEO</t>
  </si>
  <si>
    <t xml:space="preserve">Content</t>
  </si>
  <si>
    <t xml:space="preserve">Keyword map</t>
  </si>
  <si>
    <t xml:space="preserve">Promising rankings</t>
  </si>
  <si>
    <t xml:space="preserve">Targeting impossible terms</t>
  </si>
  <si>
    <t xml:space="preserve">Weak organic visibility</t>
  </si>
  <si>
    <t xml:space="preserve">L-04</t>
  </si>
  <si>
    <t xml:space="preserve">Technical approach decision record</t>
  </si>
  <si>
    <t xml:space="preserve">Decide stack (static, CMS, framework, hosting) with reasons: client skills, budget, maintenance, hosting costs</t>
  </si>
  <si>
    <t xml:space="preserve">Wrong stack creates maintenance burden</t>
  </si>
  <si>
    <t xml:space="preserve">E-03, E-06</t>
  </si>
  <si>
    <t xml:space="preserve">ADR doc</t>
  </si>
  <si>
    <t xml:space="preserve">Choosing trendy tools client can't maintain</t>
  </si>
  <si>
    <t xml:space="preserve">Deciding by habit</t>
  </si>
  <si>
    <t xml:space="preserve">High long-term cost</t>
  </si>
  <si>
    <t xml:space="preserve">L-05</t>
  </si>
  <si>
    <t xml:space="preserve">Legal content needs check</t>
  </si>
  <si>
    <t xml:space="preserve">List legal pages/disclosures the client must provide (privacy notice, terms, refund policy for e-commerce, grievance contact) and flag for client's lawyer</t>
  </si>
  <si>
    <t xml:space="preserve">Legal text is the client's responsibility but must be planned</t>
  </si>
  <si>
    <t xml:space="preserve">Legal content list</t>
  </si>
  <si>
    <t xml:space="preserve">Developer drafting legal text as advice</t>
  </si>
  <si>
    <t xml:space="preserve">Copying another site's privacy policy</t>
  </si>
  <si>
    <t xml:space="preserve">Non-compliant site</t>
  </si>
  <si>
    <t xml:space="preserve">M-01</t>
  </si>
  <si>
    <t xml:space="preserve">M</t>
  </si>
  <si>
    <t xml:space="preserve">Competitor Research</t>
  </si>
  <si>
    <t xml:space="preserve">Identify competitors</t>
  </si>
  <si>
    <t xml:space="preserve">Choose 3–5 direct/local competitors and 1–2 aspirational ones with client</t>
  </si>
  <si>
    <t xml:space="preserve">Benchmarks expectations</t>
  </si>
  <si>
    <t xml:space="preserve">Content/Design</t>
  </si>
  <si>
    <t xml:space="preserve">Competitor list</t>
  </si>
  <si>
    <t xml:space="preserve">Copying competitors</t>
  </si>
  <si>
    <t xml:space="preserve">Only picking big brands</t>
  </si>
  <si>
    <t xml:space="preserve">Weak positioning</t>
  </si>
  <si>
    <t xml:space="preserve">M-02</t>
  </si>
  <si>
    <t xml:space="preserve">Competitor site analysis</t>
  </si>
  <si>
    <t xml:space="preserve">Review structure, messaging, CTAs, trust signals, pricing display, mobile experience; screenshots</t>
  </si>
  <si>
    <t xml:space="preserve">Finds gaps and opportunities</t>
  </si>
  <si>
    <t xml:space="preserve">Analysis doc</t>
  </si>
  <si>
    <t xml:space="preserve">Doc + screenshots</t>
  </si>
  <si>
    <t xml:space="preserve">2–3 h</t>
  </si>
  <si>
    <t xml:space="preserve">Copyright issues if copying copy/assets</t>
  </si>
  <si>
    <t xml:space="preserve">Copying rather than learning</t>
  </si>
  <si>
    <t xml:space="preserve">Me-too website</t>
  </si>
  <si>
    <t xml:space="preserve">M-03</t>
  </si>
  <si>
    <t xml:space="preserve">Competitor SEO snapshot</t>
  </si>
  <si>
    <t xml:space="preserve">Note titles, key pages, GBP presence, reviews volume</t>
  </si>
  <si>
    <t xml:space="preserve">Sets realistic SEO goals</t>
  </si>
  <si>
    <t xml:space="preserve">Snapshot</t>
  </si>
  <si>
    <t xml:space="preserve">Tool costs</t>
  </si>
  <si>
    <t xml:space="preserve">Over-analysis</t>
  </si>
  <si>
    <t xml:space="preserve">Unrealistic SEO promises</t>
  </si>
  <si>
    <t xml:space="preserve">N-01</t>
  </si>
  <si>
    <t xml:space="preserve">N</t>
  </si>
  <si>
    <t xml:space="preserve">Brand Assets</t>
  </si>
  <si>
    <t xml:space="preserve">Collect brand assets</t>
  </si>
  <si>
    <t xml:space="preserve">Obtain logo (vector SVG/AI/PDF), colours, fonts, brand guide, photo library</t>
  </si>
  <si>
    <t xml:space="preserve">Needed before design</t>
  </si>
  <si>
    <t xml:space="preserve">Design</t>
  </si>
  <si>
    <t xml:space="preserve">Asset folder</t>
  </si>
  <si>
    <t xml:space="preserve">Folder listing</t>
  </si>
  <si>
    <t xml:space="preserve">Low-res logos</t>
  </si>
  <si>
    <t xml:space="preserve">Working from screenshots of logo</t>
  </si>
  <si>
    <t xml:space="preserve">Blurry, off-brand site</t>
  </si>
  <si>
    <t xml:space="preserve">N-02</t>
  </si>
  <si>
    <t xml:space="preserve">Verify brand asset rights</t>
  </si>
  <si>
    <t xml:space="preserve">Confirm client owns logo, has licences for fonts/photos they supply; record licence files</t>
  </si>
  <si>
    <t xml:space="preserve">You may be publishing infringing material</t>
  </si>
  <si>
    <t xml:space="preserve">Rights checklist</t>
  </si>
  <si>
    <t xml:space="preserve">Licence files</t>
  </si>
  <si>
    <t xml:space="preserve">Font licences not covering web use</t>
  </si>
  <si>
    <t xml:space="preserve">Assuming Google-found images are free</t>
  </si>
  <si>
    <t xml:space="preserve">Infringement claims</t>
  </si>
  <si>
    <t xml:space="preserve">N-03</t>
  </si>
  <si>
    <t xml:space="preserve">Basic brand guide creation</t>
  </si>
  <si>
    <t xml:space="preserve">Define palette, type pairing, logo usage if client has none</t>
  </si>
  <si>
    <t xml:space="preserve">Consistency across site</t>
  </si>
  <si>
    <t xml:space="preserve">Mini brand guide</t>
  </si>
  <si>
    <t xml:space="preserve">File</t>
  </si>
  <si>
    <t xml:space="preserve">3–8 h</t>
  </si>
  <si>
    <t xml:space="preserve">Scope creep into branding</t>
  </si>
  <si>
    <t xml:space="preserve">Doing it free</t>
  </si>
  <si>
    <t xml:space="preserve">Yes — separate line item</t>
  </si>
  <si>
    <t xml:space="preserve">N-04</t>
  </si>
  <si>
    <t xml:space="preserve">Logo design</t>
  </si>
  <si>
    <t xml:space="preserve">Logo concepts, refinement, final files and copyright assignment</t>
  </si>
  <si>
    <t xml:space="preserve">Logo is a separate creative deliverable</t>
  </si>
  <si>
    <t xml:space="preserve">Logo files</t>
  </si>
  <si>
    <t xml:space="preserve">Files + approval</t>
  </si>
  <si>
    <t xml:space="preserve">High</t>
  </si>
  <si>
    <t xml:space="preserve">8–20 h</t>
  </si>
  <si>
    <t xml:space="preserve">Trademark conflicts</t>
  </si>
  <si>
    <t xml:space="preserve">Bundling free logos</t>
  </si>
  <si>
    <t xml:space="preserve">Unpaid work; TM disputes</t>
  </si>
  <si>
    <t xml:space="preserve">O-01</t>
  </si>
  <si>
    <t xml:space="preserve">O</t>
  </si>
  <si>
    <t xml:space="preserve">Content Collection</t>
  </si>
  <si>
    <t xml:space="preserve">Send content checklist with deadlines</t>
  </si>
  <si>
    <t xml:space="preserve">Per page list of required text, images, videos, documents with due dates and format specs</t>
  </si>
  <si>
    <t xml:space="preserve">Makes client obligations concrete</t>
  </si>
  <si>
    <t xml:space="preserve">Content checklist</t>
  </si>
  <si>
    <t xml:space="preserve">Sent checklist</t>
  </si>
  <si>
    <t xml:space="preserve">Deadline slippage</t>
  </si>
  <si>
    <t xml:space="preserve">No format/size guidance</t>
  </si>
  <si>
    <t xml:space="preserve">Content delays</t>
  </si>
  <si>
    <t xml:space="preserve">O-02</t>
  </si>
  <si>
    <t xml:space="preserve">Collect content in shared folder</t>
  </si>
  <si>
    <t xml:space="preserve">Receive files in organised folder; reject WhatsApp-compressed images where quality matters</t>
  </si>
  <si>
    <t xml:space="preserve">Central source for build</t>
  </si>
  <si>
    <t xml:space="preserve">Content folder</t>
  </si>
  <si>
    <t xml:space="preserve">1–2 h over project</t>
  </si>
  <si>
    <t xml:space="preserve">Wrong/old versions used</t>
  </si>
  <si>
    <t xml:space="preserve">Collecting via chat</t>
  </si>
  <si>
    <t xml:space="preserve">O-03</t>
  </si>
  <si>
    <t xml:space="preserve">Track content status</t>
  </si>
  <si>
    <t xml:space="preserve">Mark each page item: pending/received/edited/approved</t>
  </si>
  <si>
    <t xml:space="preserve">Visibility of blockers</t>
  </si>
  <si>
    <t xml:space="preserve">Content tracker</t>
  </si>
  <si>
    <t xml:space="preserve">Tracker</t>
  </si>
  <si>
    <t xml:space="preserve">10 min/week</t>
  </si>
  <si>
    <t xml:space="preserve">Invisible blockers</t>
  </si>
  <si>
    <t xml:space="preserve">No tracker</t>
  </si>
  <si>
    <t xml:space="preserve">Last-minute scramble</t>
  </si>
  <si>
    <t xml:space="preserve">O-04</t>
  </si>
  <si>
    <t xml:space="preserve">Image rights and consent check</t>
  </si>
  <si>
    <t xml:space="preserve">Confirm source/licence for each image; photos of identifiable people/customers have consent; stock licence saved</t>
  </si>
  <si>
    <t xml:space="preserve">Publishing unlicensed or non-consented images creates liability</t>
  </si>
  <si>
    <t xml:space="preserve">Media rights register</t>
  </si>
  <si>
    <t xml:space="preserve">Register + licence files</t>
  </si>
  <si>
    <t xml:space="preserve">Copyright notices from stock agencies</t>
  </si>
  <si>
    <t xml:space="preserve">Using search-engine images</t>
  </si>
  <si>
    <t xml:space="preserve">Takedowns, claims</t>
  </si>
  <si>
    <t xml:space="preserve">O-05</t>
  </si>
  <si>
    <t xml:space="preserve">Process and optimise media</t>
  </si>
  <si>
    <t xml:space="preserve">Crop, resize, compress, convert (WebP/AVIF), rename descriptively, write alt text drafts</t>
  </si>
  <si>
    <t xml:space="preserve">Performance and accessibility</t>
  </si>
  <si>
    <t xml:space="preserve">FE/Content</t>
  </si>
  <si>
    <t xml:space="preserve">Optimised media set</t>
  </si>
  <si>
    <t xml:space="preserve">Folder + size report</t>
  </si>
  <si>
    <t xml:space="preserve">1–4 h</t>
  </si>
  <si>
    <t xml:space="preserve">Quality loss</t>
  </si>
  <si>
    <t xml:space="preserve">Uploading 5 MB photos</t>
  </si>
  <si>
    <t xml:space="preserve">Slow site</t>
  </si>
  <si>
    <t xml:space="preserve">O-06</t>
  </si>
  <si>
    <t xml:space="preserve">Chase missing content and record delays</t>
  </si>
  <si>
    <t xml:space="preserve">Remind client per plan; log delay days; notify timeline impact in writing</t>
  </si>
  <si>
    <t xml:space="preserve">Documents client-caused delays</t>
  </si>
  <si>
    <t xml:space="preserve">Delay log</t>
  </si>
  <si>
    <t xml:space="preserve">Messages + log</t>
  </si>
  <si>
    <t xml:space="preserve">Blame for late launch</t>
  </si>
  <si>
    <t xml:space="preserve">Silently waiting</t>
  </si>
  <si>
    <t xml:space="preserve">Disputes over deadlines</t>
  </si>
  <si>
    <t xml:space="preserve">P-01</t>
  </si>
  <si>
    <t xml:space="preserve">P</t>
  </si>
  <si>
    <t xml:space="preserve">Copywriting</t>
  </si>
  <si>
    <t xml:space="preserve">Homepage copywriting</t>
  </si>
  <si>
    <t xml:space="preserve">Write headline, value proposition, sections, CTAs based on research</t>
  </si>
  <si>
    <t xml:space="preserve">Homepage drives first impression and conversion</t>
  </si>
  <si>
    <t xml:space="preserve">L-01, L-02</t>
  </si>
  <si>
    <t xml:space="preserve">Homepage copy</t>
  </si>
  <si>
    <t xml:space="preserve">Doc with version</t>
  </si>
  <si>
    <t xml:space="preserve">3–6 h</t>
  </si>
  <si>
    <t xml:space="preserve">Client rewrites everything</t>
  </si>
  <si>
    <t xml:space="preserve">Writing before strategy</t>
  </si>
  <si>
    <t xml:space="preserve">Weak messaging</t>
  </si>
  <si>
    <t xml:space="preserve">P-02</t>
  </si>
  <si>
    <t xml:space="preserve">Inner page copywriting</t>
  </si>
  <si>
    <t xml:space="preserve">Write service/about/contact/FAQ copy</t>
  </si>
  <si>
    <t xml:space="preserve">Complete content</t>
  </si>
  <si>
    <t xml:space="preserve">Page copy</t>
  </si>
  <si>
    <t xml:space="preserve">1–3 h/page</t>
  </si>
  <si>
    <t xml:space="preserve">Unbounded page count</t>
  </si>
  <si>
    <t xml:space="preserve">Pricing per project not per page</t>
  </si>
  <si>
    <t xml:space="preserve">Unpaid copy work</t>
  </si>
  <si>
    <t xml:space="preserve">P-03</t>
  </si>
  <si>
    <t xml:space="preserve">SEO copy optimisation</t>
  </si>
  <si>
    <t xml:space="preserve">Integrate target keywords naturally in headings, intro, titles; avoid stuffing</t>
  </si>
  <si>
    <t xml:space="preserve">Improves relevance</t>
  </si>
  <si>
    <t xml:space="preserve">L-03, P-01</t>
  </si>
  <si>
    <t xml:space="preserve">Optimised copy</t>
  </si>
  <si>
    <t xml:space="preserve">Doc diff</t>
  </si>
  <si>
    <t xml:space="preserve">0.5–1 h/page</t>
  </si>
  <si>
    <t xml:space="preserve">Keyword stuffing</t>
  </si>
  <si>
    <t xml:space="preserve">Ignoring readability</t>
  </si>
  <si>
    <t xml:space="preserve">Lower rankings</t>
  </si>
  <si>
    <t xml:space="preserve">P-04</t>
  </si>
  <si>
    <t xml:space="preserve">UI microcopy</t>
  </si>
  <si>
    <t xml:space="preserve">Button labels, form hints, error messages, success messages, empty states</t>
  </si>
  <si>
    <t xml:space="preserve">Clarity and accessibility</t>
  </si>
  <si>
    <t xml:space="preserve">S-02</t>
  </si>
  <si>
    <t xml:space="preserve">Microcopy list</t>
  </si>
  <si>
    <t xml:space="preserve">Confusing errors</t>
  </si>
  <si>
    <t xml:space="preserve">Leaving 'Submit' and 'Error'</t>
  </si>
  <si>
    <t xml:space="preserve">Poor usability</t>
  </si>
  <si>
    <t xml:space="preserve">P-05</t>
  </si>
  <si>
    <t xml:space="preserve">Proofread and content approval</t>
  </si>
  <si>
    <t xml:space="preserve">Proofread all copy; client approves final text in writing</t>
  </si>
  <si>
    <t xml:space="preserve">Client is responsible for factual accuracy of their content</t>
  </si>
  <si>
    <t xml:space="preserve">P-01..P-04 or O-02</t>
  </si>
  <si>
    <t xml:space="preserve">Approved copy</t>
  </si>
  <si>
    <t xml:space="preserve">Approval email/sign-off</t>
  </si>
  <si>
    <t xml:space="preserve">Typos at launch; wrong prices/claims</t>
  </si>
  <si>
    <t xml:space="preserve">No sign-off on factual content</t>
  </si>
  <si>
    <t xml:space="preserve">Liability for wrong info</t>
  </si>
  <si>
    <t xml:space="preserve">P-06</t>
  </si>
  <si>
    <t xml:space="preserve">Translation</t>
  </si>
  <si>
    <t xml:space="preserve">Translate content to additional language(s) by qualified translator; client review</t>
  </si>
  <si>
    <t xml:space="preserve">Multilingual audiences</t>
  </si>
  <si>
    <t xml:space="preserve">Translated copy</t>
  </si>
  <si>
    <t xml:space="preserve">Varies by words</t>
  </si>
  <si>
    <t xml:space="preserve">Machine-translation errors</t>
  </si>
  <si>
    <t xml:space="preserve">No native review</t>
  </si>
  <si>
    <t xml:space="preserve">Embarrassing errors</t>
  </si>
  <si>
    <t xml:space="preserve">Q-01</t>
  </si>
  <si>
    <t xml:space="preserve">Q</t>
  </si>
  <si>
    <t xml:space="preserve">UX</t>
  </si>
  <si>
    <t xml:space="preserve">Key user flows</t>
  </si>
  <si>
    <t xml:space="preserve">Map flows for primary tasks (call, enquire, book, buy) from entry to success</t>
  </si>
  <si>
    <t xml:space="preserve">Ensures site serves goals</t>
  </si>
  <si>
    <t xml:space="preserve">E-01, L-02</t>
  </si>
  <si>
    <t xml:space="preserve">Flow diagrams</t>
  </si>
  <si>
    <t xml:space="preserve">Diagram file</t>
  </si>
  <si>
    <t xml:space="preserve">Designing pages without purpose</t>
  </si>
  <si>
    <t xml:space="preserve">Skipping mobile flow</t>
  </si>
  <si>
    <t xml:space="preserve">Low conversion</t>
  </si>
  <si>
    <t xml:space="preserve">Q-02</t>
  </si>
  <si>
    <t xml:space="preserve">Information architecture and navigation</t>
  </si>
  <si>
    <t xml:space="preserve">Define navigation labels, hierarchy, footer links, URL structure</t>
  </si>
  <si>
    <t xml:space="preserve">Findability</t>
  </si>
  <si>
    <t xml:space="preserve">IA/navigation spec</t>
  </si>
  <si>
    <t xml:space="preserve">Doc/diagram</t>
  </si>
  <si>
    <t xml:space="preserve">Too many menu items</t>
  </si>
  <si>
    <t xml:space="preserve">Internal jargon labels</t>
  </si>
  <si>
    <t xml:space="preserve">Confusing site</t>
  </si>
  <si>
    <t xml:space="preserve">Q-03</t>
  </si>
  <si>
    <t xml:space="preserve">Page content hierarchy</t>
  </si>
  <si>
    <t xml:space="preserve">For each template define section order and priority</t>
  </si>
  <si>
    <t xml:space="preserve">Basis for wireframes</t>
  </si>
  <si>
    <t xml:space="preserve">Content outlines</t>
  </si>
  <si>
    <t xml:space="preserve">Rework in wireframes</t>
  </si>
  <si>
    <t xml:space="preserve">Starting visuals first</t>
  </si>
  <si>
    <t xml:space="preserve">Weak structure</t>
  </si>
  <si>
    <t xml:space="preserve">Q-04</t>
  </si>
  <si>
    <t xml:space="preserve">Conversion points and CTAs plan</t>
  </si>
  <si>
    <t xml:space="preserve">Place calls, WhatsApp, forms, booking CTAs; define tracking events</t>
  </si>
  <si>
    <t xml:space="preserve">Links design to goals</t>
  </si>
  <si>
    <t xml:space="preserve">Design/PM</t>
  </si>
  <si>
    <t xml:space="preserve">CTA plan</t>
  </si>
  <si>
    <t xml:space="preserve">Too many CTAs</t>
  </si>
  <si>
    <t xml:space="preserve">No tracking plan</t>
  </si>
  <si>
    <t xml:space="preserve">Can't measure results</t>
  </si>
  <si>
    <t xml:space="preserve">R-01</t>
  </si>
  <si>
    <t xml:space="preserve">R</t>
  </si>
  <si>
    <t xml:space="preserve">Wireframes</t>
  </si>
  <si>
    <t xml:space="preserve">Low-fidelity wireframes</t>
  </si>
  <si>
    <t xml:space="preserve">Grey-box wireframes, mobile-first, for each unique template</t>
  </si>
  <si>
    <t xml:space="preserve">Cheap to change; locks structure before visuals</t>
  </si>
  <si>
    <t xml:space="preserve">Figma/file link</t>
  </si>
  <si>
    <t xml:space="preserve">2–6 h</t>
  </si>
  <si>
    <t xml:space="preserve">Client sees as final design</t>
  </si>
  <si>
    <t xml:space="preserve">Adding colour too early</t>
  </si>
  <si>
    <t xml:space="preserve">Expensive visual rework</t>
  </si>
  <si>
    <t xml:space="preserve">R-02</t>
  </si>
  <si>
    <t xml:space="preserve">Wireframe review with client</t>
  </si>
  <si>
    <t xml:space="preserve">Walkthrough; collect consolidated feedback</t>
  </si>
  <si>
    <t xml:space="preserve">Early alignment</t>
  </si>
  <si>
    <t xml:space="preserve">Feedback list</t>
  </si>
  <si>
    <t xml:space="preserve">Scope expansion</t>
  </si>
  <si>
    <t xml:space="preserve">Accepting new pages as 'tweaks'</t>
  </si>
  <si>
    <t xml:space="preserve">R-03</t>
  </si>
  <si>
    <t xml:space="preserve">Wireframe revisions</t>
  </si>
  <si>
    <t xml:space="preserve">Apply one consolidated round; record approval</t>
  </si>
  <si>
    <t xml:space="preserve">Stable structure</t>
  </si>
  <si>
    <t xml:space="preserve">Revised wireframes</t>
  </si>
  <si>
    <t xml:space="preserve">Version link + approval</t>
  </si>
  <si>
    <t xml:space="preserve">Endless rounds</t>
  </si>
  <si>
    <t xml:space="preserve">Untracked changes</t>
  </si>
  <si>
    <t xml:space="preserve">Delay</t>
  </si>
  <si>
    <t xml:space="preserve">S-01</t>
  </si>
  <si>
    <t xml:space="preserve">S</t>
  </si>
  <si>
    <t xml:space="preserve">UI Design</t>
  </si>
  <si>
    <t xml:space="preserve">Moodboard and style direction</t>
  </si>
  <si>
    <t xml:space="preserve">1–2 visual directions (colour, type, imagery, UI style)</t>
  </si>
  <si>
    <t xml:space="preserve">Agrees look before detailed design</t>
  </si>
  <si>
    <t xml:space="preserve">Moodboard</t>
  </si>
  <si>
    <t xml:space="preserve">Too many options</t>
  </si>
  <si>
    <t xml:space="preserve">Offering 5 directions</t>
  </si>
  <si>
    <t xml:space="preserve">Decision paralysis</t>
  </si>
  <si>
    <t xml:space="preserve">Homepage high-fidelity design</t>
  </si>
  <si>
    <t xml:space="preserve">Desktop and mobile designs of homepage with real content</t>
  </si>
  <si>
    <t xml:space="preserve">Sets visual language</t>
  </si>
  <si>
    <t xml:space="preserve">S-01, R-03</t>
  </si>
  <si>
    <t xml:space="preserve">Homepage design</t>
  </si>
  <si>
    <t xml:space="preserve">Figma link/export</t>
  </si>
  <si>
    <t xml:space="preserve">4–10 h</t>
  </si>
  <si>
    <t xml:space="preserve">Lorem ipsum hides content issues</t>
  </si>
  <si>
    <t xml:space="preserve">Designing desktop only</t>
  </si>
  <si>
    <t xml:space="preserve">Mobile afterthought</t>
  </si>
  <si>
    <t xml:space="preserve">S-03</t>
  </si>
  <si>
    <t xml:space="preserve">Inner page template designs</t>
  </si>
  <si>
    <t xml:space="preserve">Designs for each unique template (service, about, contact, blog list/post, product) desktop+mobile</t>
  </si>
  <si>
    <t xml:space="preserve">Complete design coverage</t>
  </si>
  <si>
    <t xml:space="preserve">Template designs</t>
  </si>
  <si>
    <t xml:space="preserve">Figma link</t>
  </si>
  <si>
    <t xml:space="preserve">2–5 h/template</t>
  </si>
  <si>
    <t xml:space="preserve">Template count creep</t>
  </si>
  <si>
    <t xml:space="preserve">Designing every page instead of templates</t>
  </si>
  <si>
    <t xml:space="preserve">Overrun</t>
  </si>
  <si>
    <t xml:space="preserve">S-04</t>
  </si>
  <si>
    <t xml:space="preserve">Interaction and state designs</t>
  </si>
  <si>
    <t xml:space="preserve">Hover, focus, active, disabled, loading, error, success, empty states for components</t>
  </si>
  <si>
    <t xml:space="preserve">Developers otherwise improvise</t>
  </si>
  <si>
    <t xml:space="preserve">State specs</t>
  </si>
  <si>
    <t xml:space="preserve">Figma frames</t>
  </si>
  <si>
    <t xml:space="preserve">Inconsistent behaviour</t>
  </si>
  <si>
    <t xml:space="preserve">Forgetting focus states</t>
  </si>
  <si>
    <t xml:space="preserve">Accessibility failures</t>
  </si>
  <si>
    <t xml:space="preserve">S-05</t>
  </si>
  <si>
    <t xml:space="preserve">Design accessibility check</t>
  </si>
  <si>
    <t xml:space="preserve">Check contrast (4.5:1 text), target sizes (24px min), focus visibility, not relying on colour alone</t>
  </si>
  <si>
    <t xml:space="preserve">Cheaper to fix in design</t>
  </si>
  <si>
    <t xml:space="preserve">Accessibility notes</t>
  </si>
  <si>
    <t xml:space="preserve">Checker screenshots</t>
  </si>
  <si>
    <t xml:space="preserve">Brand colours fail contrast</t>
  </si>
  <si>
    <t xml:space="preserve">Light grey text</t>
  </si>
  <si>
    <t xml:space="preserve">S-06</t>
  </si>
  <si>
    <t xml:space="preserve">Design handoff specification</t>
  </si>
  <si>
    <t xml:space="preserve">Export assets, document spacing, breakpoints, component names, interactions</t>
  </si>
  <si>
    <t xml:space="preserve">Accurate implementation</t>
  </si>
  <si>
    <t xml:space="preserve">Handoff file</t>
  </si>
  <si>
    <t xml:space="preserve">Figma dev link</t>
  </si>
  <si>
    <t xml:space="preserve">Misinterpretation</t>
  </si>
  <si>
    <t xml:space="preserve">Assets not exported</t>
  </si>
  <si>
    <t xml:space="preserve">T-01</t>
  </si>
  <si>
    <t xml:space="preserve">T</t>
  </si>
  <si>
    <t xml:space="preserve">Design System</t>
  </si>
  <si>
    <t xml:space="preserve">Colour tokens</t>
  </si>
  <si>
    <t xml:space="preserve">Define named colour tokens (primary, surface, text, border, states) incl. dark mode if needed</t>
  </si>
  <si>
    <t xml:space="preserve">Consistency and easy changes</t>
  </si>
  <si>
    <t xml:space="preserve">Token list</t>
  </si>
  <si>
    <t xml:space="preserve">Figma variables/file</t>
  </si>
  <si>
    <t xml:space="preserve">Hard-coded colours</t>
  </si>
  <si>
    <t xml:space="preserve">No state colours</t>
  </si>
  <si>
    <t xml:space="preserve">Inconsistent UI</t>
  </si>
  <si>
    <t xml:space="preserve">T-02</t>
  </si>
  <si>
    <t xml:space="preserve">Typography scale</t>
  </si>
  <si>
    <t xml:space="preserve">Font families, sizes, weights, line heights for headings/body across breakpoints</t>
  </si>
  <si>
    <t xml:space="preserve">Readability</t>
  </si>
  <si>
    <t xml:space="preserve">Type scale</t>
  </si>
  <si>
    <t xml:space="preserve">Too many font weights (slow)</t>
  </si>
  <si>
    <t xml:space="preserve">Tiny mobile text</t>
  </si>
  <si>
    <t xml:space="preserve">Poor readability</t>
  </si>
  <si>
    <t xml:space="preserve">T-03</t>
  </si>
  <si>
    <t xml:space="preserve">Spacing, grid and breakpoints</t>
  </si>
  <si>
    <t xml:space="preserve">Spacing scale, container widths, breakpoints</t>
  </si>
  <si>
    <t xml:space="preserve">Responsive consistency</t>
  </si>
  <si>
    <t xml:space="preserve">Layout spec</t>
  </si>
  <si>
    <t xml:space="preserve">Arbitrary spacing</t>
  </si>
  <si>
    <t xml:space="preserve">Pixel-perfect only at one width</t>
  </si>
  <si>
    <t xml:space="preserve">Inconsistent layout</t>
  </si>
  <si>
    <t xml:space="preserve">T-04</t>
  </si>
  <si>
    <t xml:space="preserve">Component library</t>
  </si>
  <si>
    <t xml:space="preserve">Buttons, links, inputs, cards, nav, modals, accordions, alerts with variants/states</t>
  </si>
  <si>
    <t xml:space="preserve">Speeds design and build</t>
  </si>
  <si>
    <t xml:space="preserve">T-01..T-03</t>
  </si>
  <si>
    <t xml:space="preserve">Component set</t>
  </si>
  <si>
    <t xml:space="preserve">Figma components</t>
  </si>
  <si>
    <t xml:space="preserve">Over-engineering for small sites</t>
  </si>
  <si>
    <t xml:space="preserve">Components without states</t>
  </si>
  <si>
    <t xml:space="preserve">T-05</t>
  </si>
  <si>
    <t xml:space="preserve">Icons and image style</t>
  </si>
  <si>
    <t xml:space="preserve">Choose licensed icon set and image treatment rules</t>
  </si>
  <si>
    <t xml:space="preserve">Visual cohesion; licence clarity</t>
  </si>
  <si>
    <t xml:space="preserve">Icon/image guide</t>
  </si>
  <si>
    <t xml:space="preserve">File + licence</t>
  </si>
  <si>
    <t xml:space="preserve">Unlicensed icons</t>
  </si>
  <si>
    <t xml:space="preserve">Mixing icon styles</t>
  </si>
  <si>
    <t xml:space="preserve">Messy visuals</t>
  </si>
  <si>
    <t xml:space="preserve">U-01</t>
  </si>
  <si>
    <t xml:space="preserve">U</t>
  </si>
  <si>
    <t xml:space="preserve">Client Design Approval</t>
  </si>
  <si>
    <t xml:space="preserve">Design presentation</t>
  </si>
  <si>
    <t xml:space="preserve">Present designs explaining rationale tied to goals</t>
  </si>
  <si>
    <t xml:space="preserve">Better feedback quality</t>
  </si>
  <si>
    <t xml:space="preserve">S-02/S-03</t>
  </si>
  <si>
    <t xml:space="preserve">Presentation notes</t>
  </si>
  <si>
    <t xml:space="preserve">Taste-based debates</t>
  </si>
  <si>
    <t xml:space="preserve">Sending link with no context</t>
  </si>
  <si>
    <t xml:space="preserve">Random feedback</t>
  </si>
  <si>
    <t xml:space="preserve">U-02</t>
  </si>
  <si>
    <t xml:space="preserve">Consolidated design feedback</t>
  </si>
  <si>
    <t xml:space="preserve">Client sends one consolidated list per round from the decision-maker</t>
  </si>
  <si>
    <t xml:space="preserve">Controls rounds</t>
  </si>
  <si>
    <t xml:space="preserve">Client email/doc</t>
  </si>
  <si>
    <t xml:space="preserve">Conflicting feedback</t>
  </si>
  <si>
    <t xml:space="preserve">Accepting drip feedback</t>
  </si>
  <si>
    <t xml:space="preserve">Round explosion</t>
  </si>
  <si>
    <t xml:space="preserve">U-03</t>
  </si>
  <si>
    <t xml:space="preserve">Design revision round</t>
  </si>
  <si>
    <t xml:space="preserve">Apply agreed changes; classify out-of-scope items as change requests</t>
  </si>
  <si>
    <t xml:space="preserve">Controlled iteration</t>
  </si>
  <si>
    <t xml:space="preserve">Revised designs</t>
  </si>
  <si>
    <t xml:space="preserve">1–6 h/round</t>
  </si>
  <si>
    <t xml:space="preserve">Unlimited tweaks</t>
  </si>
  <si>
    <t xml:space="preserve">Not counting rounds</t>
  </si>
  <si>
    <t xml:space="preserve">U-04</t>
  </si>
  <si>
    <t xml:space="preserve">Written design sign-off</t>
  </si>
  <si>
    <t xml:space="preserve">Client approves designs in writing; later visual changes are change requests</t>
  </si>
  <si>
    <t xml:space="preserve">Freezes design before development</t>
  </si>
  <si>
    <t xml:space="preserve">Design approval</t>
  </si>
  <si>
    <t xml:space="preserve">Signed approval/email</t>
  </si>
  <si>
    <t xml:space="preserve">15 min</t>
  </si>
  <si>
    <t xml:space="preserve">Redesign during development</t>
  </si>
  <si>
    <t xml:space="preserve">Starting code before approval</t>
  </si>
  <si>
    <t xml:space="preserve">Costly rework</t>
  </si>
  <si>
    <t xml:space="preserve">V-01</t>
  </si>
  <si>
    <t xml:space="preserve">V</t>
  </si>
  <si>
    <t xml:space="preserve">Frontend Development</t>
  </si>
  <si>
    <t xml:space="preserve">Initialize frontend project</t>
  </si>
  <si>
    <t xml:space="preserve">Create project with chosen framework/generator, set Node version, scripts (dev/build/preview)</t>
  </si>
  <si>
    <t xml:space="preserve">Reproducible foundation</t>
  </si>
  <si>
    <t xml:space="preserve">Development</t>
  </si>
  <si>
    <t xml:space="preserve">L-04, J-04</t>
  </si>
  <si>
    <t xml:space="preserve">FE</t>
  </si>
  <si>
    <t xml:space="preserve">Project scaffold</t>
  </si>
  <si>
    <t xml:space="preserve">Initial commit</t>
  </si>
  <si>
    <t xml:space="preserve">Wrong framework version</t>
  </si>
  <si>
    <t xml:space="preserve">Unpinned runtime</t>
  </si>
  <si>
    <t xml:space="preserve">Build breaks later</t>
  </si>
  <si>
    <t xml:space="preserve">V-02</t>
  </si>
  <si>
    <t xml:space="preserve">Establish folder structure and conventions</t>
  </si>
  <si>
    <t xml:space="preserve">Folders for components, pages, styles, assets, utils; naming rules in README</t>
  </si>
  <si>
    <t xml:space="preserve">Maintainability, easier handover</t>
  </si>
  <si>
    <t xml:space="preserve">Structure + README section</t>
  </si>
  <si>
    <t xml:space="preserve">Commit</t>
  </si>
  <si>
    <t xml:space="preserve">Chaotic codebase</t>
  </si>
  <si>
    <t xml:space="preserve">No conventions</t>
  </si>
  <si>
    <t xml:space="preserve">Hard handover</t>
  </si>
  <si>
    <t xml:space="preserve">V-03</t>
  </si>
  <si>
    <t xml:space="preserve">Configure dependencies and lockfile</t>
  </si>
  <si>
    <t xml:space="preserve">Add only needed packages; commit lockfile; record licences</t>
  </si>
  <si>
    <t xml:space="preserve">Supply-chain and licence control</t>
  </si>
  <si>
    <t xml:space="preserve">package manifest + lockfile</t>
  </si>
  <si>
    <t xml:space="preserve">Vulnerable/abandoned packages</t>
  </si>
  <si>
    <t xml:space="preserve">Installing heavy libs for small needs</t>
  </si>
  <si>
    <t xml:space="preserve">Bloat, vulnerabilities</t>
  </si>
  <si>
    <t xml:space="preserve">V-04</t>
  </si>
  <si>
    <t xml:space="preserve">Linting, formatting and pre-commit hooks</t>
  </si>
  <si>
    <t xml:space="preserve">Configure linter/formatter and optional pre-commit checks</t>
  </si>
  <si>
    <t xml:space="preserve">Consistent code between two developers</t>
  </si>
  <si>
    <t xml:space="preserve">Config files</t>
  </si>
  <si>
    <t xml:space="preserve">Style fights</t>
  </si>
  <si>
    <t xml:space="preserve">Skipping on small projects</t>
  </si>
  <si>
    <t xml:space="preserve">Messy diffs</t>
  </si>
  <si>
    <t xml:space="preserve">V-05</t>
  </si>
  <si>
    <t xml:space="preserve">Global styles and CSS variables</t>
  </si>
  <si>
    <t xml:space="preserve">Reset/normalize, CSS custom properties from tokens, base element styles</t>
  </si>
  <si>
    <t xml:space="preserve">Consistent look</t>
  </si>
  <si>
    <t xml:space="preserve">Global stylesheet</t>
  </si>
  <si>
    <t xml:space="preserve">Specificity conflicts</t>
  </si>
  <si>
    <t xml:space="preserve">Hard-coding values everywhere</t>
  </si>
  <si>
    <t xml:space="preserve">V-06</t>
  </si>
  <si>
    <t xml:space="preserve">Typography and font loading</t>
  </si>
  <si>
    <t xml:space="preserve">Implement type scale; self-host or optimise web fonts with font-display, subsetting, preload of critical font</t>
  </si>
  <si>
    <t xml:space="preserve">Readability and performance</t>
  </si>
  <si>
    <t xml:space="preserve">Font setup</t>
  </si>
  <si>
    <t xml:space="preserve">Commit + Lighthouse note</t>
  </si>
  <si>
    <t xml:space="preserve">Layout shift from fonts; licence breach</t>
  </si>
  <si>
    <t xml:space="preserve">Loading 6 weights</t>
  </si>
  <si>
    <t xml:space="preserve">Slow, janky text</t>
  </si>
  <si>
    <t xml:space="preserve">V-07</t>
  </si>
  <si>
    <t xml:space="preserve">Layout primitives</t>
  </si>
  <si>
    <t xml:space="preserve">Containers, grid/flex utilities, section spacing, responsive breakpoints</t>
  </si>
  <si>
    <t xml:space="preserve">Reuse across pages</t>
  </si>
  <si>
    <t xml:space="preserve">Layout components</t>
  </si>
  <si>
    <t xml:space="preserve">Inconsistent spacing</t>
  </si>
  <si>
    <t xml:space="preserve">One-off layouts per page</t>
  </si>
  <si>
    <t xml:space="preserve">Maintenance cost</t>
  </si>
  <si>
    <t xml:space="preserve">V-08</t>
  </si>
  <si>
    <t xml:space="preserve">Header and desktop navigation</t>
  </si>
  <si>
    <t xml:space="preserve">Logo, menu, active states, CTA button, skip link</t>
  </si>
  <si>
    <t xml:space="preserve">Primary wayfinding</t>
  </si>
  <si>
    <t xml:space="preserve">Header component</t>
  </si>
  <si>
    <t xml:space="preserve">Commit + screenshot</t>
  </si>
  <si>
    <t xml:space="preserve">Menu overflow</t>
  </si>
  <si>
    <t xml:space="preserve">No active state; no skip link</t>
  </si>
  <si>
    <t xml:space="preserve">Poor navigation</t>
  </si>
  <si>
    <t xml:space="preserve">V-09</t>
  </si>
  <si>
    <t xml:space="preserve">Responsive mobile navigation</t>
  </si>
  <si>
    <t xml:space="preserve">Accessible menu toggle (button with aria-expanded), focus management, close on Escape, scroll lock</t>
  </si>
  <si>
    <t xml:space="preserve">Most local-business traffic is mobile</t>
  </si>
  <si>
    <t xml:space="preserve">Mobile nav</t>
  </si>
  <si>
    <t xml:space="preserve">Commit + device screenshots</t>
  </si>
  <si>
    <t xml:space="preserve">Keyboard traps</t>
  </si>
  <si>
    <t xml:space="preserve">Div as button; no Escape close</t>
  </si>
  <si>
    <t xml:space="preserve">Unusable on mobile/for keyboard users</t>
  </si>
  <si>
    <t xml:space="preserve">V-10</t>
  </si>
  <si>
    <t xml:space="preserve">Footer</t>
  </si>
  <si>
    <t xml:space="preserve">Contact details, links, legal pages, social links, copyright line</t>
  </si>
  <si>
    <t xml:space="preserve">Trust and legal link placement</t>
  </si>
  <si>
    <t xml:space="preserve">Footer component</t>
  </si>
  <si>
    <t xml:space="preserve">Wrong contact info</t>
  </si>
  <si>
    <t xml:space="preserve">Missing legal links</t>
  </si>
  <si>
    <t xml:space="preserve">Trust/compliance gaps</t>
  </si>
  <si>
    <t xml:space="preserve">V-11</t>
  </si>
  <si>
    <t xml:space="preserve">Build homepage sections</t>
  </si>
  <si>
    <t xml:space="preserve">Implement each homepage section from design with real content</t>
  </si>
  <si>
    <t xml:space="preserve">Core page</t>
  </si>
  <si>
    <t xml:space="preserve">U-04, V-05..V-10</t>
  </si>
  <si>
    <t xml:space="preserve">Homepage</t>
  </si>
  <si>
    <t xml:space="preserve">Commit + staging URL</t>
  </si>
  <si>
    <t xml:space="preserve">Pixel-drift from design</t>
  </si>
  <si>
    <t xml:space="preserve">Building before content final</t>
  </si>
  <si>
    <t xml:space="preserve">V-12</t>
  </si>
  <si>
    <t xml:space="preserve">Build inner page templates</t>
  </si>
  <si>
    <t xml:space="preserve">Implement each approved template and populate pages</t>
  </si>
  <si>
    <t xml:space="preserve">Complete site</t>
  </si>
  <si>
    <t xml:space="preserve">Page templates</t>
  </si>
  <si>
    <t xml:space="preserve">Commits + staging URLs</t>
  </si>
  <si>
    <t xml:space="preserve">Copy-pasting instead of templates</t>
  </si>
  <si>
    <t xml:space="preserve">V-13</t>
  </si>
  <si>
    <t xml:space="preserve">Reusable UI components</t>
  </si>
  <si>
    <t xml:space="preserve">Buttons, cards, accordions, tabs, modals, carousels (only if needed) with accessible behaviour</t>
  </si>
  <si>
    <t xml:space="preserve">Consistency and accessibility</t>
  </si>
  <si>
    <t xml:space="preserve">Components</t>
  </si>
  <si>
    <t xml:space="preserve">Commits</t>
  </si>
  <si>
    <t xml:space="preserve">Inaccessible carousels/modals</t>
  </si>
  <si>
    <t xml:space="preserve">Auto-rotating sliders</t>
  </si>
  <si>
    <t xml:space="preserve">V-14</t>
  </si>
  <si>
    <t xml:space="preserve">Responsive images</t>
  </si>
  <si>
    <t xml:space="preserve">srcset/sizes, width/height attributes, lazy-load below fold, eager/priority for hero</t>
  </si>
  <si>
    <t xml:space="preserve">LCP and CLS</t>
  </si>
  <si>
    <t xml:space="preserve">Image implementation</t>
  </si>
  <si>
    <t xml:space="preserve">Commit + Lighthouse</t>
  </si>
  <si>
    <t xml:space="preserve">Layout shift</t>
  </si>
  <si>
    <t xml:space="preserve">Lazy-loading hero image</t>
  </si>
  <si>
    <t xml:space="preserve">Poor Core Web Vitals</t>
  </si>
  <si>
    <t xml:space="preserve">V-15</t>
  </si>
  <si>
    <t xml:space="preserve">Implement form UI</t>
  </si>
  <si>
    <t xml:space="preserve">Accessible fields with visible labels, autocomplete attributes, input types, required indicators</t>
  </si>
  <si>
    <t xml:space="preserve">Forms are the main conversion point</t>
  </si>
  <si>
    <t xml:space="preserve">AB-01</t>
  </si>
  <si>
    <t xml:space="preserve">Form components</t>
  </si>
  <si>
    <t xml:space="preserve">Placeholder-as-label</t>
  </si>
  <si>
    <t xml:space="preserve">Wrong input types on mobile</t>
  </si>
  <si>
    <t xml:space="preserve">Lost leads</t>
  </si>
  <si>
    <t xml:space="preserve">V-16</t>
  </si>
  <si>
    <t xml:space="preserve">Client-side validation</t>
  </si>
  <si>
    <t xml:space="preserve">Inline validation with clear messages linked via aria-describedby; never the only validation</t>
  </si>
  <si>
    <t xml:space="preserve">Better UX; server still validates</t>
  </si>
  <si>
    <t xml:space="preserve">Validation logic</t>
  </si>
  <si>
    <t xml:space="preserve">Commit + test</t>
  </si>
  <si>
    <t xml:space="preserve">Blocking valid Indian phone formats</t>
  </si>
  <si>
    <t xml:space="preserve">Over-strict regex</t>
  </si>
  <si>
    <t xml:space="preserve">V-17</t>
  </si>
  <si>
    <t xml:space="preserve">Loading states</t>
  </si>
  <si>
    <t xml:space="preserve">Button disabled/spinner on submit, skeletons for async content, prevent double submit</t>
  </si>
  <si>
    <t xml:space="preserve">Prevents duplicate submissions</t>
  </si>
  <si>
    <t xml:space="preserve">Loading UI</t>
  </si>
  <si>
    <t xml:space="preserve">Duplicate leads/orders</t>
  </si>
  <si>
    <t xml:space="preserve">No feedback on slow networks</t>
  </si>
  <si>
    <t xml:space="preserve">User confusion</t>
  </si>
  <si>
    <t xml:space="preserve">V-18</t>
  </si>
  <si>
    <t xml:space="preserve">Error and empty states</t>
  </si>
  <si>
    <t xml:space="preserve">Friendly network/server error messages, retry, empty lists</t>
  </si>
  <si>
    <t xml:space="preserve">Resilience</t>
  </si>
  <si>
    <t xml:space="preserve">Error UI</t>
  </si>
  <si>
    <t xml:space="preserve">Silent failures</t>
  </si>
  <si>
    <t xml:space="preserve">Showing raw error text</t>
  </si>
  <si>
    <t xml:space="preserve">Lost leads, leaked info</t>
  </si>
  <si>
    <t xml:space="preserve">V-19</t>
  </si>
  <si>
    <t xml:space="preserve">Animations and transitions</t>
  </si>
  <si>
    <t xml:space="preserve">Subtle transitions respecting prefers-reduced-motion; no layout-shifting animations</t>
  </si>
  <si>
    <t xml:space="preserve">Polish without harming accessibility/perf</t>
  </si>
  <si>
    <t xml:space="preserve">Animations</t>
  </si>
  <si>
    <t xml:space="preserve">Motion sickness, INP hit</t>
  </si>
  <si>
    <t xml:space="preserve">Heavy animation libraries</t>
  </si>
  <si>
    <t xml:space="preserve">Slower site</t>
  </si>
  <si>
    <t xml:space="preserve">V-20</t>
  </si>
  <si>
    <t xml:space="preserve">404 and error pages</t>
  </si>
  <si>
    <t xml:space="preserve">Custom 404 with navigation/search; server error page</t>
  </si>
  <si>
    <t xml:space="preserve">Recovers lost visitors</t>
  </si>
  <si>
    <t xml:space="preserve">404/500 pages</t>
  </si>
  <si>
    <t xml:space="preserve">Commit + URL test</t>
  </si>
  <si>
    <t xml:space="preserve">Soft-404 (200 status)</t>
  </si>
  <si>
    <t xml:space="preserve">Default server page</t>
  </si>
  <si>
    <t xml:space="preserve">Lost visitors, SEO issues</t>
  </si>
  <si>
    <t xml:space="preserve">V-21</t>
  </si>
  <si>
    <t xml:space="preserve">Favicon, app icons and manifest</t>
  </si>
  <si>
    <t xml:space="preserve">Favicon set, apple-touch-icon, theme colour, web manifest if relevant</t>
  </si>
  <si>
    <t xml:space="preserve">Brand recognition in tabs/bookmarks</t>
  </si>
  <si>
    <t xml:space="preserve">Icon files</t>
  </si>
  <si>
    <t xml:space="preserve">Missing icons look unprofessional</t>
  </si>
  <si>
    <t xml:space="preserve">Only one favicon size</t>
  </si>
  <si>
    <t xml:space="preserve">Generic browser icon</t>
  </si>
  <si>
    <t xml:space="preserve">V-22</t>
  </si>
  <si>
    <t xml:space="preserve">API integration layer</t>
  </si>
  <si>
    <t xml:space="preserve">Central fetch/client module with timeouts, error handling, typed responses</t>
  </si>
  <si>
    <t xml:space="preserve">Maintainable data access</t>
  </si>
  <si>
    <t xml:space="preserve">Z-01</t>
  </si>
  <si>
    <t xml:space="preserve">API client</t>
  </si>
  <si>
    <t xml:space="preserve">Keys exposed in frontend</t>
  </si>
  <si>
    <t xml:space="preserve">Calling third-party APIs with secret keys from browser</t>
  </si>
  <si>
    <t xml:space="preserve">Leaked keys</t>
  </si>
  <si>
    <t xml:space="preserve">V-23</t>
  </si>
  <si>
    <t xml:space="preserve">Consent banner UI</t>
  </si>
  <si>
    <t xml:space="preserve">Consent UI for non-essential cookies/trackers where client chooses to use them; blocks tags until consent</t>
  </si>
  <si>
    <t xml:space="preserve">Privacy expectations and DPDP consent principles</t>
  </si>
  <si>
    <t xml:space="preserve">AJ-01</t>
  </si>
  <si>
    <t xml:space="preserve">Banner</t>
  </si>
  <si>
    <t xml:space="preserve">Dark patterns (pre-ticked)</t>
  </si>
  <si>
    <t xml:space="preserve">Banner that doesn't actually block scripts</t>
  </si>
  <si>
    <t xml:space="preserve">Privacy complaints</t>
  </si>
  <si>
    <t xml:space="preserve">V-24</t>
  </si>
  <si>
    <t xml:space="preserve">Print styles</t>
  </si>
  <si>
    <t xml:space="preserve">Print stylesheet for menus, price lists, event pages</t>
  </si>
  <si>
    <t xml:space="preserve">Some local businesses need printable pages</t>
  </si>
  <si>
    <t xml:space="preserve">Print CSS</t>
  </si>
  <si>
    <t xml:space="preserve">None major</t>
  </si>
  <si>
    <t xml:space="preserve">Forgetting when requested</t>
  </si>
  <si>
    <t xml:space="preserve">Poor printouts</t>
  </si>
  <si>
    <t xml:space="preserve">V-25</t>
  </si>
  <si>
    <t xml:space="preserve">Frontend tests</t>
  </si>
  <si>
    <t xml:space="preserve">Component/unit tests for logic, basic end-to-end for key flows</t>
  </si>
  <si>
    <t xml:space="preserve">Prevent regressions</t>
  </si>
  <si>
    <t xml:space="preserve">V-11..V-18</t>
  </si>
  <si>
    <t xml:space="preserve">Tests</t>
  </si>
  <si>
    <t xml:space="preserve">Test run output</t>
  </si>
  <si>
    <t xml:space="preserve">False confidence</t>
  </si>
  <si>
    <t xml:space="preserve">Testing only happy paths</t>
  </si>
  <si>
    <t xml:space="preserve">Regressions</t>
  </si>
  <si>
    <t xml:space="preserve">W-01</t>
  </si>
  <si>
    <t xml:space="preserve">W</t>
  </si>
  <si>
    <t xml:space="preserve">Backend Development</t>
  </si>
  <si>
    <t xml:space="preserve">Initialize backend project</t>
  </si>
  <si>
    <t xml:space="preserve">Scaffold server/serverless functions with runtime version, structure, scripts</t>
  </si>
  <si>
    <t xml:space="preserve">Foundation</t>
  </si>
  <si>
    <t xml:space="preserve">BE</t>
  </si>
  <si>
    <t xml:space="preserve">Backend scaffold</t>
  </si>
  <si>
    <t xml:space="preserve">Unneeded backend for static sites</t>
  </si>
  <si>
    <t xml:space="preserve">Building custom backend where a service suffices</t>
  </si>
  <si>
    <t xml:space="preserve">Over-engineering</t>
  </si>
  <si>
    <t xml:space="preserve">W-02</t>
  </si>
  <si>
    <t xml:space="preserve">Environment configuration and secrets</t>
  </si>
  <si>
    <t xml:space="preserve">.env.example with names only; secrets in host secret store; separate dev/staging/prod values</t>
  </si>
  <si>
    <t xml:space="preserve">Secrets must never be in code or repo</t>
  </si>
  <si>
    <t xml:space="preserve">Config + .env.example</t>
  </si>
  <si>
    <t xml:space="preserve">Commit (no secrets)</t>
  </si>
  <si>
    <t xml:space="preserve">Secrets committed</t>
  </si>
  <si>
    <t xml:space="preserve">Sharing .env over WhatsApp</t>
  </si>
  <si>
    <t xml:space="preserve">Credential leak</t>
  </si>
  <si>
    <t xml:space="preserve">W-03</t>
  </si>
  <si>
    <t xml:space="preserve">Data models and business logic</t>
  </si>
  <si>
    <t xml:space="preserve">Implement entities (leads, bookings, products) and rules</t>
  </si>
  <si>
    <t xml:space="preserve">Core behaviour</t>
  </si>
  <si>
    <t xml:space="preserve">X-02</t>
  </si>
  <si>
    <t xml:space="preserve">Models/services</t>
  </si>
  <si>
    <t xml:space="preserve">Commits + tests</t>
  </si>
  <si>
    <t xml:space="preserve">3–12 h</t>
  </si>
  <si>
    <t xml:space="preserve">Logic errors</t>
  </si>
  <si>
    <t xml:space="preserve">Mixing logic into routes</t>
  </si>
  <si>
    <t xml:space="preserve">Bugs, hard maintenance</t>
  </si>
  <si>
    <t xml:space="preserve">W-04</t>
  </si>
  <si>
    <t xml:space="preserve">API endpoints</t>
  </si>
  <si>
    <t xml:space="preserve">Implement endpoints for forms, content, bookings with consistent responses</t>
  </si>
  <si>
    <t xml:space="preserve">Frontend/backend contract</t>
  </si>
  <si>
    <t xml:space="preserve">Z-01, W-03</t>
  </si>
  <si>
    <t xml:space="preserve">Endpoints</t>
  </si>
  <si>
    <t xml:space="preserve">Commits + API docs</t>
  </si>
  <si>
    <t xml:space="preserve">1–3 h/endpoint</t>
  </si>
  <si>
    <t xml:space="preserve">Missing auth checks</t>
  </si>
  <si>
    <t xml:space="preserve">No input validation</t>
  </si>
  <si>
    <t xml:space="preserve">Vulnerabilities</t>
  </si>
  <si>
    <t xml:space="preserve">W-05</t>
  </si>
  <si>
    <t xml:space="preserve">Server-side validation and sanitisation</t>
  </si>
  <si>
    <t xml:space="preserve">Validate type/length/format of every input; parameterised queries; encode output</t>
  </si>
  <si>
    <t xml:space="preserve">Injection prevention</t>
  </si>
  <si>
    <t xml:space="preserve">Validation layer</t>
  </si>
  <si>
    <t xml:space="preserve">Commit + tests</t>
  </si>
  <si>
    <t xml:space="preserve">XSS/SQL injection</t>
  </si>
  <si>
    <t xml:space="preserve">Trusting client validation</t>
  </si>
  <si>
    <t xml:space="preserve">Breach</t>
  </si>
  <si>
    <t xml:space="preserve">W-06</t>
  </si>
  <si>
    <t xml:space="preserve">Error handling and logging</t>
  </si>
  <si>
    <t xml:space="preserve">Central error handler, structured logs without personal data/secrets, correlation IDs</t>
  </si>
  <si>
    <t xml:space="preserve">Diagnose issues safely</t>
  </si>
  <si>
    <t xml:space="preserve">Logging setup</t>
  </si>
  <si>
    <t xml:space="preserve">Commit + sample log</t>
  </si>
  <si>
    <t xml:space="preserve">Logging passwords/PII</t>
  </si>
  <si>
    <t xml:space="preserve">Stack traces to users</t>
  </si>
  <si>
    <t xml:space="preserve">Leaks, blind debugging</t>
  </si>
  <si>
    <t xml:space="preserve">W-07</t>
  </si>
  <si>
    <t xml:space="preserve">Rate limiting and abuse protection</t>
  </si>
  <si>
    <t xml:space="preserve">Limit form/login/API requests per IP/user</t>
  </si>
  <si>
    <t xml:space="preserve">Prevents spam and brute force</t>
  </si>
  <si>
    <t xml:space="preserve">Rate limits</t>
  </si>
  <si>
    <t xml:space="preserve">Config + test</t>
  </si>
  <si>
    <t xml:space="preserve">Spam floods, SMS/email cost spikes</t>
  </si>
  <si>
    <t xml:space="preserve">No limits on OTP/email endpoints</t>
  </si>
  <si>
    <t xml:space="preserve">Abuse costs</t>
  </si>
  <si>
    <t xml:space="preserve">W-08</t>
  </si>
  <si>
    <t xml:space="preserve">File upload handling</t>
  </si>
  <si>
    <t xml:space="preserve">Validate type (content not extension), size limits, virus scan if needed, private storage, random names</t>
  </si>
  <si>
    <t xml:space="preserve">Uploads are a common attack vector</t>
  </si>
  <si>
    <t xml:space="preserve">Upload module</t>
  </si>
  <si>
    <t xml:space="preserve">2–5 h</t>
  </si>
  <si>
    <t xml:space="preserve">Malware hosting, RCE</t>
  </si>
  <si>
    <t xml:space="preserve">Storing uploads in web root</t>
  </si>
  <si>
    <t xml:space="preserve">Compromise</t>
  </si>
  <si>
    <t xml:space="preserve">W-09</t>
  </si>
  <si>
    <t xml:space="preserve">Scheduled jobs</t>
  </si>
  <si>
    <t xml:space="preserve">Cron/scheduled tasks (reminders, cleanup, backups) with monitoring</t>
  </si>
  <si>
    <t xml:space="preserve">Automation</t>
  </si>
  <si>
    <t xml:space="preserve">Jobs</t>
  </si>
  <si>
    <t xml:space="preserve">Config + logs</t>
  </si>
  <si>
    <t xml:space="preserve">No alerting</t>
  </si>
  <si>
    <t xml:space="preserve">Missed reminders</t>
  </si>
  <si>
    <t xml:space="preserve">W-10</t>
  </si>
  <si>
    <t xml:space="preserve">Backend tests</t>
  </si>
  <si>
    <t xml:space="preserve">Unit/integration tests for logic and endpoints incl. auth failures</t>
  </si>
  <si>
    <t xml:space="preserve">Confidence for changes</t>
  </si>
  <si>
    <t xml:space="preserve">Test output</t>
  </si>
  <si>
    <t xml:space="preserve">Only happy paths</t>
  </si>
  <si>
    <t xml:space="preserve">X-01</t>
  </si>
  <si>
    <t xml:space="preserve">X</t>
  </si>
  <si>
    <t xml:space="preserve">Database</t>
  </si>
  <si>
    <t xml:space="preserve">Choose database and hosting</t>
  </si>
  <si>
    <t xml:space="preserve">Select managed DB appropriate to scale/budget; region; backups included</t>
  </si>
  <si>
    <t xml:space="preserve">Data durability</t>
  </si>
  <si>
    <t xml:space="preserve">ADR entry</t>
  </si>
  <si>
    <t xml:space="preserve">Unmanaged DB with no backups</t>
  </si>
  <si>
    <t xml:space="preserve">Free tiers that pause/delete</t>
  </si>
  <si>
    <t xml:space="preserve">Data loss</t>
  </si>
  <si>
    <t xml:space="preserve">Schema design</t>
  </si>
  <si>
    <t xml:space="preserve">Tables/collections, relations, constraints, ERD; data minimisation</t>
  </si>
  <si>
    <t xml:space="preserve">Correct data model</t>
  </si>
  <si>
    <t xml:space="preserve">Schema + ERD</t>
  </si>
  <si>
    <t xml:space="preserve">Migration files + diagram</t>
  </si>
  <si>
    <t xml:space="preserve">Storing unnecessary personal data</t>
  </si>
  <si>
    <t xml:space="preserve">No constraints</t>
  </si>
  <si>
    <t xml:space="preserve">Data quality issues</t>
  </si>
  <si>
    <t xml:space="preserve">X-03</t>
  </si>
  <si>
    <t xml:space="preserve">Migrations</t>
  </si>
  <si>
    <t xml:space="preserve">Versioned migration scripts for schema changes</t>
  </si>
  <si>
    <t xml:space="preserve">Reproducible deploys</t>
  </si>
  <si>
    <t xml:space="preserve">Migration scripts</t>
  </si>
  <si>
    <t xml:space="preserve">Manual prod changes</t>
  </si>
  <si>
    <t xml:space="preserve">Editing prod schema by hand</t>
  </si>
  <si>
    <t xml:space="preserve">Drift, outages</t>
  </si>
  <si>
    <t xml:space="preserve">X-04</t>
  </si>
  <si>
    <t xml:space="preserve">Seed and test data</t>
  </si>
  <si>
    <t xml:space="preserve">Non-personal sample data for dev/staging</t>
  </si>
  <si>
    <t xml:space="preserve">Safe testing</t>
  </si>
  <si>
    <t xml:space="preserve">Seed script</t>
  </si>
  <si>
    <t xml:space="preserve">Real customer data in staging</t>
  </si>
  <si>
    <t xml:space="preserve">Copying prod DB to dev</t>
  </si>
  <si>
    <t xml:space="preserve">Privacy breach</t>
  </si>
  <si>
    <t xml:space="preserve">X-05</t>
  </si>
  <si>
    <t xml:space="preserve">Indexes and constraints</t>
  </si>
  <si>
    <t xml:space="preserve">Add indexes for queries; unique/foreign keys</t>
  </si>
  <si>
    <t xml:space="preserve">Performance and integrity</t>
  </si>
  <si>
    <t xml:space="preserve">Index migration</t>
  </si>
  <si>
    <t xml:space="preserve">Slow queries</t>
  </si>
  <si>
    <t xml:space="preserve">No indexes</t>
  </si>
  <si>
    <t xml:space="preserve">Slow admin</t>
  </si>
  <si>
    <t xml:space="preserve">X-06</t>
  </si>
  <si>
    <t xml:space="preserve">Least-privilege database users</t>
  </si>
  <si>
    <t xml:space="preserve">App user with only required permissions; separate admin credentials</t>
  </si>
  <si>
    <t xml:space="preserve">Limits blast radius</t>
  </si>
  <si>
    <t xml:space="preserve">DB users</t>
  </si>
  <si>
    <t xml:space="preserve">Config record (no passwords)</t>
  </si>
  <si>
    <t xml:space="preserve">App running as DB superuser</t>
  </si>
  <si>
    <t xml:space="preserve">One password everywhere</t>
  </si>
  <si>
    <t xml:space="preserve">Larger breach impact</t>
  </si>
  <si>
    <t xml:space="preserve">X-07</t>
  </si>
  <si>
    <t xml:space="preserve">Backup configuration and restore test</t>
  </si>
  <si>
    <t xml:space="preserve">Automated backups with retention; perform one test restore</t>
  </si>
  <si>
    <t xml:space="preserve">Backups you haven't restored are assumptions</t>
  </si>
  <si>
    <t xml:space="preserve">Launch</t>
  </si>
  <si>
    <t xml:space="preserve">BE/DevOps</t>
  </si>
  <si>
    <t xml:space="preserve">Backup config + restore report</t>
  </si>
  <si>
    <t xml:space="preserve">Screenshot/log</t>
  </si>
  <si>
    <t xml:space="preserve">Corrupt/incomplete backups</t>
  </si>
  <si>
    <t xml:space="preserve">Never testing restore</t>
  </si>
  <si>
    <t xml:space="preserve">Unrecoverable loss</t>
  </si>
  <si>
    <t xml:space="preserve">Y-01</t>
  </si>
  <si>
    <t xml:space="preserve">Y</t>
  </si>
  <si>
    <t xml:space="preserve">Authentication</t>
  </si>
  <si>
    <t xml:space="preserve">Authentication strategy</t>
  </si>
  <si>
    <t xml:space="preserve">Choose managed auth vs framework auth; define user types; passkey/OTP/password options</t>
  </si>
  <si>
    <t xml:space="preserve">Secure login is hard to build from scratch</t>
  </si>
  <si>
    <t xml:space="preserve">Auth decision</t>
  </si>
  <si>
    <t xml:space="preserve">ADR</t>
  </si>
  <si>
    <t xml:space="preserve">Rolling your own crypto</t>
  </si>
  <si>
    <t xml:space="preserve">Storing plaintext passwords</t>
  </si>
  <si>
    <t xml:space="preserve">Y-02</t>
  </si>
  <si>
    <t xml:space="preserve">Signup, login and logout</t>
  </si>
  <si>
    <t xml:space="preserve">Implement flows with secure password hashing or provider; generic error messages</t>
  </si>
  <si>
    <t xml:space="preserve">Core access</t>
  </si>
  <si>
    <t xml:space="preserve">BE/FE</t>
  </si>
  <si>
    <t xml:space="preserve">Auth flows</t>
  </si>
  <si>
    <t xml:space="preserve">Account enumeration</t>
  </si>
  <si>
    <t xml:space="preserve">Revealing 'email not found'</t>
  </si>
  <si>
    <t xml:space="preserve">Security weakness</t>
  </si>
  <si>
    <t xml:space="preserve">Y-03</t>
  </si>
  <si>
    <t xml:space="preserve">Password reset and email verification</t>
  </si>
  <si>
    <t xml:space="preserve">Single-use, expiring tokens; rate limited; no password in email</t>
  </si>
  <si>
    <t xml:space="preserve">Account recovery safety</t>
  </si>
  <si>
    <t xml:space="preserve">Y-02, AC-01</t>
  </si>
  <si>
    <t xml:space="preserve">Reset flow</t>
  </si>
  <si>
    <t xml:space="preserve">Token reuse</t>
  </si>
  <si>
    <t xml:space="preserve">Long-lived reset links</t>
  </si>
  <si>
    <t xml:space="preserve">Account takeover</t>
  </si>
  <si>
    <t xml:space="preserve">Y-04</t>
  </si>
  <si>
    <t xml:space="preserve">Role-based authorization</t>
  </si>
  <si>
    <t xml:space="preserve">Enforce roles/ownership on server for every protected route/object</t>
  </si>
  <si>
    <t xml:space="preserve">Broken access control is the top web risk</t>
  </si>
  <si>
    <t xml:space="preserve">Authorization checks</t>
  </si>
  <si>
    <t xml:space="preserve">Tests incl. negative cases</t>
  </si>
  <si>
    <t xml:space="preserve">IDOR</t>
  </si>
  <si>
    <t xml:space="preserve">Hiding buttons instead of checking server-side</t>
  </si>
  <si>
    <t xml:space="preserve">Data exposure</t>
  </si>
  <si>
    <t xml:space="preserve">Y-05</t>
  </si>
  <si>
    <t xml:space="preserve">Session and token security</t>
  </si>
  <si>
    <t xml:space="preserve">Secure, HttpOnly, SameSite cookies; expiry; rotation on login; logout invalidation</t>
  </si>
  <si>
    <t xml:space="preserve">Session hijack prevention</t>
  </si>
  <si>
    <t xml:space="preserve">Session config</t>
  </si>
  <si>
    <t xml:space="preserve">Config + tests</t>
  </si>
  <si>
    <t xml:space="preserve">Tokens in localStorage</t>
  </si>
  <si>
    <t xml:space="preserve">Never-expiring sessions</t>
  </si>
  <si>
    <t xml:space="preserve">Hijacking</t>
  </si>
  <si>
    <t xml:space="preserve">Y-06</t>
  </si>
  <si>
    <t xml:space="preserve">MFA for admin accounts</t>
  </si>
  <si>
    <t xml:space="preserve">Enable MFA/2FA on admin logins (app, platform, CMS)</t>
  </si>
  <si>
    <t xml:space="preserve">Admin compromise = site compromise</t>
  </si>
  <si>
    <t xml:space="preserve">Y-02 or AD-03</t>
  </si>
  <si>
    <t xml:space="preserve">MFA enabled</t>
  </si>
  <si>
    <t xml:space="preserve">Screenshot/settings record</t>
  </si>
  <si>
    <t xml:space="preserve">SMS-only MFA weaknesses</t>
  </si>
  <si>
    <t xml:space="preserve">Shared admin account</t>
  </si>
  <si>
    <t xml:space="preserve">Takeover</t>
  </si>
  <si>
    <t xml:space="preserve">Z</t>
  </si>
  <si>
    <t xml:space="preserve">APIs</t>
  </si>
  <si>
    <t xml:space="preserve">API contract and documentation</t>
  </si>
  <si>
    <t xml:space="preserve">Document endpoints, request/response shapes, errors, auth</t>
  </si>
  <si>
    <t xml:space="preserve">Shared understanding; handover</t>
  </si>
  <si>
    <t xml:space="preserve">API docs</t>
  </si>
  <si>
    <t xml:space="preserve">Doc/OpenAPI file</t>
  </si>
  <si>
    <t xml:space="preserve">Undocumented behaviour</t>
  </si>
  <si>
    <t xml:space="preserve">Docs out of date</t>
  </si>
  <si>
    <t xml:space="preserve">Hard maintenance</t>
  </si>
  <si>
    <t xml:space="preserve">Z-02</t>
  </si>
  <si>
    <t xml:space="preserve">Implement and version APIs</t>
  </si>
  <si>
    <t xml:space="preserve">Build to contract; version when breaking changes occur</t>
  </si>
  <si>
    <t xml:space="preserve">Stability</t>
  </si>
  <si>
    <t xml:space="preserve">API</t>
  </si>
  <si>
    <t xml:space="preserve">Varies</t>
  </si>
  <si>
    <t xml:space="preserve">Breaking clients</t>
  </si>
  <si>
    <t xml:space="preserve">No versioning</t>
  </si>
  <si>
    <t xml:space="preserve">Outages</t>
  </si>
  <si>
    <t xml:space="preserve">Z-03</t>
  </si>
  <si>
    <t xml:space="preserve">API key scoping and restriction</t>
  </si>
  <si>
    <t xml:space="preserve">Restrict keys by domain/IP/API; separate keys per environment; server-side use only for secrets</t>
  </si>
  <si>
    <t xml:space="preserve">Stolen keys cause bills and abuse</t>
  </si>
  <si>
    <t xml:space="preserve">AA-01</t>
  </si>
  <si>
    <t xml:space="preserve">Key restriction record</t>
  </si>
  <si>
    <t xml:space="preserve">Console screenshot</t>
  </si>
  <si>
    <t xml:space="preserve">Unrestricted Maps keys billed</t>
  </si>
  <si>
    <t xml:space="preserve">One key for dev and prod</t>
  </si>
  <si>
    <t xml:space="preserve">Unexpected charges</t>
  </si>
  <si>
    <t xml:space="preserve">AA</t>
  </si>
  <si>
    <t xml:space="preserve">Third-party Integrations</t>
  </si>
  <si>
    <t xml:space="preserve">Third-party account ownership check</t>
  </si>
  <si>
    <t xml:space="preserve">Confirm each service account is created by/for the client (client email, client billing) with you as invited user</t>
  </si>
  <si>
    <t xml:space="preserve">Prevents developer lock-in and billing disputes</t>
  </si>
  <si>
    <t xml:space="preserve">Account register entries</t>
  </si>
  <si>
    <t xml:space="preserve">Register + invite emails</t>
  </si>
  <si>
    <t xml:space="preserve">Services on developer's card</t>
  </si>
  <si>
    <t xml:space="preserve">Creating accounts 'temporarily' in own name</t>
  </si>
  <si>
    <t xml:space="preserve">Painful migrations later</t>
  </si>
  <si>
    <t xml:space="preserve">AA-02</t>
  </si>
  <si>
    <t xml:space="preserve">Maps integration</t>
  </si>
  <si>
    <t xml:space="preserve">Embed map or Maps API with restricted key; correct business location</t>
  </si>
  <si>
    <t xml:space="preserve">Local businesses need directions</t>
  </si>
  <si>
    <t xml:space="preserve">Map</t>
  </si>
  <si>
    <t xml:space="preserve">API billing</t>
  </si>
  <si>
    <t xml:space="preserve">Unrestricted key</t>
  </si>
  <si>
    <t xml:space="preserve">Charges</t>
  </si>
  <si>
    <t xml:space="preserve">AA-03</t>
  </si>
  <si>
    <t xml:space="preserve">WhatsApp contact integration</t>
  </si>
  <si>
    <t xml:space="preserve">Click-to-chat link with prefilled message, or Business Platform integration if requested</t>
  </si>
  <si>
    <t xml:space="preserve">Preferred channel for Indian customers</t>
  </si>
  <si>
    <t xml:space="preserve">WhatsApp CTA</t>
  </si>
  <si>
    <t xml:space="preserve">Test record</t>
  </si>
  <si>
    <t xml:space="preserve">0.5 h (link) / 4–10 h (API)</t>
  </si>
  <si>
    <t xml:space="preserve">Wrong number format</t>
  </si>
  <si>
    <t xml:space="preserve">Personal number instead of business number</t>
  </si>
  <si>
    <t xml:space="preserve">Missed enquiries</t>
  </si>
  <si>
    <t xml:space="preserve">AA-04</t>
  </si>
  <si>
    <t xml:space="preserve">Social media embeds</t>
  </si>
  <si>
    <t xml:space="preserve">Links/feeds/embeds with performance and privacy consideration</t>
  </si>
  <si>
    <t xml:space="preserve">Social proof</t>
  </si>
  <si>
    <t xml:space="preserve">Embeds</t>
  </si>
  <si>
    <t xml:space="preserve">Heavy third-party scripts</t>
  </si>
  <si>
    <t xml:space="preserve">Embedding full feeds</t>
  </si>
  <si>
    <t xml:space="preserve">Slow pages</t>
  </si>
  <si>
    <t xml:space="preserve">AA-05</t>
  </si>
  <si>
    <t xml:space="preserve">CRM or email marketing integration</t>
  </si>
  <si>
    <t xml:space="preserve">Send leads/subscribers to client's CRM/list with consent recorded</t>
  </si>
  <si>
    <t xml:space="preserve">Automates lead handling</t>
  </si>
  <si>
    <t xml:space="preserve">AA-01, AB-04</t>
  </si>
  <si>
    <t xml:space="preserve">Integration</t>
  </si>
  <si>
    <t xml:space="preserve">Consent not captured</t>
  </si>
  <si>
    <t xml:space="preserve">Adding everyone to marketing list</t>
  </si>
  <si>
    <t xml:space="preserve">AA-06</t>
  </si>
  <si>
    <t xml:space="preserve">Integration failure handling</t>
  </si>
  <si>
    <t xml:space="preserve">Timeouts, retries, fallback (e.g., store lead locally and email) and alerts</t>
  </si>
  <si>
    <t xml:space="preserve">Third parties fail</t>
  </si>
  <si>
    <t xml:space="preserve">AA-02..AA-05</t>
  </si>
  <si>
    <t xml:space="preserve">Fallback logic</t>
  </si>
  <si>
    <t xml:space="preserve">Silent lead loss</t>
  </si>
  <si>
    <t xml:space="preserve">Assuming APIs never fail</t>
  </si>
  <si>
    <t xml:space="preserve">Lost business</t>
  </si>
  <si>
    <t xml:space="preserve">AB</t>
  </si>
  <si>
    <t xml:space="preserve">Forms</t>
  </si>
  <si>
    <t xml:space="preserve">Form specification and data minimisation</t>
  </si>
  <si>
    <t xml:space="preserve">Define fields, required ones, purpose of each, where data goes, retention</t>
  </si>
  <si>
    <t xml:space="preserve">Collect only what is needed</t>
  </si>
  <si>
    <t xml:space="preserve">Form spec</t>
  </si>
  <si>
    <t xml:space="preserve">Over-collection of personal data</t>
  </si>
  <si>
    <t xml:space="preserve">Asking for DOB/Aadhaar unnecessarily</t>
  </si>
  <si>
    <t xml:space="preserve">Privacy risk</t>
  </si>
  <si>
    <t xml:space="preserve">AB-02</t>
  </si>
  <si>
    <t xml:space="preserve">Form submission handling</t>
  </si>
  <si>
    <t xml:space="preserve">Deliver to email/DB/CRM reliably; store copy; notify client</t>
  </si>
  <si>
    <t xml:space="preserve">Lead delivery is the site's job</t>
  </si>
  <si>
    <t xml:space="preserve">AB-01, AC-01</t>
  </si>
  <si>
    <t xml:space="preserve">Handler</t>
  </si>
  <si>
    <t xml:space="preserve">Test submissions</t>
  </si>
  <si>
    <t xml:space="preserve">Emails landing in spam</t>
  </si>
  <si>
    <t xml:space="preserve">Only emailing, no storage</t>
  </si>
  <si>
    <t xml:space="preserve">AB-03</t>
  </si>
  <si>
    <t xml:space="preserve">Spam protection</t>
  </si>
  <si>
    <t xml:space="preserve">Honeypot, rate limit, time-trap, accessible CAPTCHA only if needed</t>
  </si>
  <si>
    <t xml:space="preserve">Reduce spam without blocking users</t>
  </si>
  <si>
    <t xml:space="preserve">Anti-spam</t>
  </si>
  <si>
    <t xml:space="preserve">Blocking real users</t>
  </si>
  <si>
    <t xml:space="preserve">Inaccessible image CAPTCHA</t>
  </si>
  <si>
    <t xml:space="preserve">AB-04</t>
  </si>
  <si>
    <t xml:space="preserve">Notice and consent text on forms</t>
  </si>
  <si>
    <t xml:space="preserve">Short notice of purpose with link to privacy notice; separate unticked opt-in for marketing</t>
  </si>
  <si>
    <t xml:space="preserve">Aligns with DPDP notice/consent principles</t>
  </si>
  <si>
    <t xml:space="preserve">AB-01, BK-01</t>
  </si>
  <si>
    <t xml:space="preserve">PM/FE</t>
  </si>
  <si>
    <t xml:space="preserve">Notice text</t>
  </si>
  <si>
    <t xml:space="preserve">Screenshot</t>
  </si>
  <si>
    <t xml:space="preserve">Pre-ticked consent</t>
  </si>
  <si>
    <t xml:space="preserve">Bundling marketing consent</t>
  </si>
  <si>
    <t xml:space="preserve">AB-05</t>
  </si>
  <si>
    <t xml:space="preserve">Confirmation and conversion tracking</t>
  </si>
  <si>
    <t xml:space="preserve">Success message/thank-you page; fire conversion event</t>
  </si>
  <si>
    <t xml:space="preserve">Feedback to user; measurable goals</t>
  </si>
  <si>
    <t xml:space="preserve">AB-02, AJ-03</t>
  </si>
  <si>
    <t xml:space="preserve">Confirmation + event</t>
  </si>
  <si>
    <t xml:space="preserve">Analytics debug screenshot</t>
  </si>
  <si>
    <t xml:space="preserve">Double-counted conversions</t>
  </si>
  <si>
    <t xml:space="preserve">Tracking on click not success</t>
  </si>
  <si>
    <t xml:space="preserve">Wrong metrics</t>
  </si>
  <si>
    <t xml:space="preserve">AB-06</t>
  </si>
  <si>
    <t xml:space="preserve">End-to-end form test</t>
  </si>
  <si>
    <t xml:space="preserve">Submit every form on staging and production; verify email, storage, auto-reply</t>
  </si>
  <si>
    <t xml:space="preserve">Most embarrassing failure is a silent form</t>
  </si>
  <si>
    <t xml:space="preserve">QA</t>
  </si>
  <si>
    <t xml:space="preserve">AB-02..AB-05</t>
  </si>
  <si>
    <t xml:space="preserve">Test log + received emails</t>
  </si>
  <si>
    <t xml:space="preserve">Broken production SMTP</t>
  </si>
  <si>
    <t xml:space="preserve">Testing only on staging</t>
  </si>
  <si>
    <t xml:space="preserve">AC-01</t>
  </si>
  <si>
    <t xml:space="preserve">AC</t>
  </si>
  <si>
    <t xml:space="preserve">Email</t>
  </si>
  <si>
    <t xml:space="preserve">Transactional email service setup</t>
  </si>
  <si>
    <t xml:space="preserve">Configure sending service in client's account; verify sending domain</t>
  </si>
  <si>
    <t xml:space="preserve">Reliable delivery</t>
  </si>
  <si>
    <t xml:space="preserve">Configured service</t>
  </si>
  <si>
    <t xml:space="preserve">Using personal Gmail SMTP</t>
  </si>
  <si>
    <t xml:space="preserve">Sending from free email domains</t>
  </si>
  <si>
    <t xml:space="preserve">Spam folder</t>
  </si>
  <si>
    <t xml:space="preserve">AC-02</t>
  </si>
  <si>
    <t xml:space="preserve">SPF, DKIM and DMARC records</t>
  </si>
  <si>
    <t xml:space="preserve">Add/merge SPF (one record), DKIM keys, DMARC policy for sending domain</t>
  </si>
  <si>
    <t xml:space="preserve">Major mailbox providers expect authentication</t>
  </si>
  <si>
    <t xml:space="preserve">AC-01, AW-01</t>
  </si>
  <si>
    <t xml:space="preserve">DNS records</t>
  </si>
  <si>
    <t xml:space="preserve">DNS lookup output</t>
  </si>
  <si>
    <t xml:space="preserve">Multiple SPF records break mail</t>
  </si>
  <si>
    <t xml:space="preserve">Overwriting client's existing MX/SPF</t>
  </si>
  <si>
    <t xml:space="preserve">Email outage</t>
  </si>
  <si>
    <t xml:space="preserve">AC-03</t>
  </si>
  <si>
    <t xml:space="preserve">Email templates</t>
  </si>
  <si>
    <t xml:space="preserve">Notification and auto-reply templates with plain-text version and business details</t>
  </si>
  <si>
    <t xml:space="preserve">Professional, accessible emails</t>
  </si>
  <si>
    <t xml:space="preserve">Templates</t>
  </si>
  <si>
    <t xml:space="preserve">Commit + test sends</t>
  </si>
  <si>
    <t xml:space="preserve">Broken rendering</t>
  </si>
  <si>
    <t xml:space="preserve">Images-only emails</t>
  </si>
  <si>
    <t xml:space="preserve">Poor delivery</t>
  </si>
  <si>
    <t xml:space="preserve">AC-04</t>
  </si>
  <si>
    <t xml:space="preserve">Deliverability test</t>
  </si>
  <si>
    <t xml:space="preserve">Send tests to Gmail/Outlook/Yahoo; check spam placement and headers</t>
  </si>
  <si>
    <t xml:space="preserve">Verify authentication works</t>
  </si>
  <si>
    <t xml:space="preserve">Test report</t>
  </si>
  <si>
    <t xml:space="preserve">Screenshots of headers</t>
  </si>
  <si>
    <t xml:space="preserve">Leads in spam</t>
  </si>
  <si>
    <t xml:space="preserve">Testing only to own domain</t>
  </si>
  <si>
    <t xml:space="preserve">AC-05</t>
  </si>
  <si>
    <t xml:space="preserve">Business mailbox setup</t>
  </si>
  <si>
    <t xml:space="preserve">Set up client mailboxes on client's chosen provider; MX records</t>
  </si>
  <si>
    <t xml:space="preserve">Often requested with website</t>
  </si>
  <si>
    <t xml:space="preserve">AW-01</t>
  </si>
  <si>
    <t xml:space="preserve">Mailboxes</t>
  </si>
  <si>
    <t xml:space="preserve">Admin console record</t>
  </si>
  <si>
    <t xml:space="preserve">Email downtime during MX change</t>
  </si>
  <si>
    <t xml:space="preserve">Changing MX without inventory</t>
  </si>
  <si>
    <t xml:space="preserve">AD-01</t>
  </si>
  <si>
    <t xml:space="preserve">AD</t>
  </si>
  <si>
    <t xml:space="preserve">CMS</t>
  </si>
  <si>
    <t xml:space="preserve">CMS selection</t>
  </si>
  <si>
    <t xml:space="preserve">Choose CMS (none, headless, WordPress, hosted builder) based on who edits and how often</t>
  </si>
  <si>
    <t xml:space="preserve">Right tool for client's skills</t>
  </si>
  <si>
    <t xml:space="preserve">Over-complex CMS</t>
  </si>
  <si>
    <t xml:space="preserve">Choosing CMS client can't use</t>
  </si>
  <si>
    <t xml:space="preserve">Support burden</t>
  </si>
  <si>
    <t xml:space="preserve">AD-02</t>
  </si>
  <si>
    <t xml:space="preserve">Content model</t>
  </si>
  <si>
    <t xml:space="preserve">Define collections/fields/validation for editable content</t>
  </si>
  <si>
    <t xml:space="preserve">Structured, safe editing</t>
  </si>
  <si>
    <t xml:space="preserve">Config/commit</t>
  </si>
  <si>
    <t xml:space="preserve">Editors breaking layouts</t>
  </si>
  <si>
    <t xml:space="preserve">Free-form rich text everywhere</t>
  </si>
  <si>
    <t xml:space="preserve">Broken pages</t>
  </si>
  <si>
    <t xml:space="preserve">AD-03</t>
  </si>
  <si>
    <t xml:space="preserve">Editor roles and permissions</t>
  </si>
  <si>
    <t xml:space="preserve">Client admin, editor roles; developer account separate and removable</t>
  </si>
  <si>
    <t xml:space="preserve">Least privilege and clean handover</t>
  </si>
  <si>
    <t xml:space="preserve">Role config</t>
  </si>
  <si>
    <t xml:space="preserve">Everyone as admin</t>
  </si>
  <si>
    <t xml:space="preserve">Sharing one admin login</t>
  </si>
  <si>
    <t xml:space="preserve">Takeover risk</t>
  </si>
  <si>
    <t xml:space="preserve">AD-04</t>
  </si>
  <si>
    <t xml:space="preserve">Content entry and migration</t>
  </si>
  <si>
    <t xml:space="preserve">Enter/migrate agreed number of pages/items</t>
  </si>
  <si>
    <t xml:space="preserve">Site populated</t>
  </si>
  <si>
    <t xml:space="preserve">AD-02, P-05</t>
  </si>
  <si>
    <t xml:space="preserve">Populated CMS</t>
  </si>
  <si>
    <t xml:space="preserve">Page count record</t>
  </si>
  <si>
    <t xml:space="preserve">0.25–0.5 h/item</t>
  </si>
  <si>
    <t xml:space="preserve">Unbounded data entry</t>
  </si>
  <si>
    <t xml:space="preserve">Including unlimited entry</t>
  </si>
  <si>
    <t xml:space="preserve">AD-05</t>
  </si>
  <si>
    <t xml:space="preserve">Plugin/extension vetting and licences</t>
  </si>
  <si>
    <t xml:space="preserve">Check maintenance status, security history, licence terms and renewal cost of each plugin</t>
  </si>
  <si>
    <t xml:space="preserve">Plugins are a major vulnerability and licence risk</t>
  </si>
  <si>
    <t xml:space="preserve">Plugin register</t>
  </si>
  <si>
    <t xml:space="preserve">Register</t>
  </si>
  <si>
    <t xml:space="preserve">Nulled/pirated plugins</t>
  </si>
  <si>
    <t xml:space="preserve">Using developer-licence on client site</t>
  </si>
  <si>
    <t xml:space="preserve">Malware, licence breach</t>
  </si>
  <si>
    <t xml:space="preserve">AE-01</t>
  </si>
  <si>
    <t xml:space="preserve">AE</t>
  </si>
  <si>
    <t xml:space="preserve">Admin Dashboard</t>
  </si>
  <si>
    <t xml:space="preserve">Admin requirements</t>
  </si>
  <si>
    <t xml:space="preserve">Define admin tasks, roles, data views, exports</t>
  </si>
  <si>
    <t xml:space="preserve">Avoid over-building</t>
  </si>
  <si>
    <t xml:space="preserve">Admin spec</t>
  </si>
  <si>
    <t xml:space="preserve">Building features no one uses</t>
  </si>
  <si>
    <t xml:space="preserve">AE-02</t>
  </si>
  <si>
    <t xml:space="preserve">Build admin screens</t>
  </si>
  <si>
    <t xml:space="preserve">List/detail/edit screens with server-side authorization</t>
  </si>
  <si>
    <t xml:space="preserve">Client manages data</t>
  </si>
  <si>
    <t xml:space="preserve">AE-01, Y-04</t>
  </si>
  <si>
    <t xml:space="preserve">Admin UI</t>
  </si>
  <si>
    <t xml:space="preserve">Commits + screenshots</t>
  </si>
  <si>
    <t xml:space="preserve">6–20 h</t>
  </si>
  <si>
    <t xml:space="preserve">Access control bugs</t>
  </si>
  <si>
    <t xml:space="preserve">Client-side only checks</t>
  </si>
  <si>
    <t xml:space="preserve">AE-03</t>
  </si>
  <si>
    <t xml:space="preserve">Audit log</t>
  </si>
  <si>
    <t xml:space="preserve">Record who changed what and when for admin actions</t>
  </si>
  <si>
    <t xml:space="preserve">Accountability</t>
  </si>
  <si>
    <t xml:space="preserve">Sample entries</t>
  </si>
  <si>
    <t xml:space="preserve">Storing excessive PII</t>
  </si>
  <si>
    <t xml:space="preserve">No retention rule</t>
  </si>
  <si>
    <t xml:space="preserve">Poor traceability</t>
  </si>
  <si>
    <t xml:space="preserve">AE-04</t>
  </si>
  <si>
    <t xml:space="preserve">Data export</t>
  </si>
  <si>
    <t xml:space="preserve">CSV export of leads/orders for client</t>
  </si>
  <si>
    <t xml:space="preserve">Client owns and uses their data</t>
  </si>
  <si>
    <t xml:space="preserve">Export feature</t>
  </si>
  <si>
    <t xml:space="preserve">Sample export</t>
  </si>
  <si>
    <t xml:space="preserve">Export exposes data broadly</t>
  </si>
  <si>
    <t xml:space="preserve">No access control</t>
  </si>
  <si>
    <t xml:space="preserve">Leak</t>
  </si>
  <si>
    <t xml:space="preserve">AF-01</t>
  </si>
  <si>
    <t xml:space="preserve">AF</t>
  </si>
  <si>
    <t xml:space="preserve">E-commerce</t>
  </si>
  <si>
    <t xml:space="preserve">E-commerce platform decision</t>
  </si>
  <si>
    <t xml:space="preserve">Choose hosted platform vs WooCommerce vs custom based on SKUs, budget, maintenance, payment and GST invoicing needs</t>
  </si>
  <si>
    <t xml:space="preserve">Custom e-commerce is expensive and risky</t>
  </si>
  <si>
    <t xml:space="preserve">PM/BE</t>
  </si>
  <si>
    <t xml:space="preserve">Custom cart where hosted fits</t>
  </si>
  <si>
    <t xml:space="preserve">Ignoring transaction fees and renewals</t>
  </si>
  <si>
    <t xml:space="preserve">Cost overrun</t>
  </si>
  <si>
    <t xml:space="preserve">AF-02</t>
  </si>
  <si>
    <t xml:space="preserve">Product catalogue setup</t>
  </si>
  <si>
    <t xml:space="preserve">Categories, attributes, variants, prices incl./excl. GST, images, stock</t>
  </si>
  <si>
    <t xml:space="preserve">Accurate listings</t>
  </si>
  <si>
    <t xml:space="preserve">AF-01, O-02</t>
  </si>
  <si>
    <t xml:space="preserve">Content/BE</t>
  </si>
  <si>
    <t xml:space="preserve">Catalogue</t>
  </si>
  <si>
    <t xml:space="preserve">Product count record</t>
  </si>
  <si>
    <t xml:space="preserve">0.25–0.5 h/product</t>
  </si>
  <si>
    <t xml:space="preserve">Wrong prices</t>
  </si>
  <si>
    <t xml:space="preserve">Unbounded product entry in fixed fee</t>
  </si>
  <si>
    <t xml:space="preserve">Unpaid work, pricing errors</t>
  </si>
  <si>
    <t xml:space="preserve">AF-03</t>
  </si>
  <si>
    <t xml:space="preserve">Cart and checkout</t>
  </si>
  <si>
    <t xml:space="preserve">Cart, address, shipping choice, order summary with total price, explicit consent (no pre-ticked boxes)</t>
  </si>
  <si>
    <t xml:space="preserve">Core purchase flow; e-commerce rules require clear consent and pricing</t>
  </si>
  <si>
    <t xml:space="preserve">AF-02, AH-02</t>
  </si>
  <si>
    <t xml:space="preserve">Checkout</t>
  </si>
  <si>
    <t xml:space="preserve">E2E test record</t>
  </si>
  <si>
    <t xml:space="preserve">6–16 h</t>
  </si>
  <si>
    <t xml:space="preserve">Abandoned carts, hidden charges</t>
  </si>
  <si>
    <t xml:space="preserve">Pre-ticked add-ons</t>
  </si>
  <si>
    <t xml:space="preserve">Consumer complaints</t>
  </si>
  <si>
    <t xml:space="preserve">AF-04</t>
  </si>
  <si>
    <t xml:space="preserve">Tax display and invoice generation</t>
  </si>
  <si>
    <t xml:space="preserve">Show taxes correctly; generate GST-compliant invoices per client's CA instructions</t>
  </si>
  <si>
    <t xml:space="preserve">Client's tax compliance</t>
  </si>
  <si>
    <t xml:space="preserve">Invoice template</t>
  </si>
  <si>
    <t xml:space="preserve">Sample invoice reviewed by client's CA</t>
  </si>
  <si>
    <t xml:space="preserve">Wrong GST treatment</t>
  </si>
  <si>
    <t xml:space="preserve">Developer deciding tax rules</t>
  </si>
  <si>
    <t xml:space="preserve">Client tax exposure</t>
  </si>
  <si>
    <t xml:space="preserve">AF-05</t>
  </si>
  <si>
    <t xml:space="preserve">Shipping and delivery rules</t>
  </si>
  <si>
    <t xml:space="preserve">Zones, rates, delivery estimates, COD rules if offered</t>
  </si>
  <si>
    <t xml:space="preserve">Accurate costs/expectations</t>
  </si>
  <si>
    <t xml:space="preserve">Shipping config</t>
  </si>
  <si>
    <t xml:space="preserve">Test orders</t>
  </si>
  <si>
    <t xml:space="preserve">Undercharging shipping</t>
  </si>
  <si>
    <t xml:space="preserve">Ignoring pincode serviceability</t>
  </si>
  <si>
    <t xml:space="preserve">Losses</t>
  </si>
  <si>
    <t xml:space="preserve">AF-06</t>
  </si>
  <si>
    <t xml:space="preserve">E-commerce mandatory disclosures</t>
  </si>
  <si>
    <t xml:space="preserve">Display seller legal name, address, customer care and grievance officer contacts, return/refund/exchange/shipping/payment terms as supplied by client</t>
  </si>
  <si>
    <t xml:space="preserve">Consumer Protection (E-Commerce) Rules require prominent disclosures</t>
  </si>
  <si>
    <t xml:space="preserve">BK-04</t>
  </si>
  <si>
    <t xml:space="preserve">Policy pages + footer details</t>
  </si>
  <si>
    <t xml:space="preserve">Screenshots</t>
  </si>
  <si>
    <t xml:space="preserve">Non-compliance</t>
  </si>
  <si>
    <t xml:space="preserve">Developer writing policies without client/lawyer</t>
  </si>
  <si>
    <t xml:space="preserve">Regulatory complaints</t>
  </si>
  <si>
    <t xml:space="preserve">AF-07</t>
  </si>
  <si>
    <t xml:space="preserve">Order notifications</t>
  </si>
  <si>
    <t xml:space="preserve">Customer and admin emails/SMS for order placed/shipped/refunded</t>
  </si>
  <si>
    <t xml:space="preserve">Transparency</t>
  </si>
  <si>
    <t xml:space="preserve">Notification templates</t>
  </si>
  <si>
    <t xml:space="preserve">Test emails</t>
  </si>
  <si>
    <t xml:space="preserve">Missing notifications</t>
  </si>
  <si>
    <t xml:space="preserve">No admin alert</t>
  </si>
  <si>
    <t xml:space="preserve">Missed orders</t>
  </si>
  <si>
    <t xml:space="preserve">AG-01</t>
  </si>
  <si>
    <t xml:space="preserve">AG</t>
  </si>
  <si>
    <t xml:space="preserve">Booking Systems</t>
  </si>
  <si>
    <t xml:space="preserve">Booking tool decision</t>
  </si>
  <si>
    <t xml:space="preserve">Choose embedded booking service vs custom based on complexity, payments, reminders</t>
  </si>
  <si>
    <t xml:space="preserve">Custom booking is complex</t>
  </si>
  <si>
    <t xml:space="preserve">Reinventing calendars</t>
  </si>
  <si>
    <t xml:space="preserve">Custom build for simple needs</t>
  </si>
  <si>
    <t xml:space="preserve">AG-02</t>
  </si>
  <si>
    <t xml:space="preserve">Availability and slots configuration</t>
  </si>
  <si>
    <t xml:space="preserve">Services, durations, buffers, staff, holidays, time zone (IST)</t>
  </si>
  <si>
    <t xml:space="preserve">Correct availability</t>
  </si>
  <si>
    <t xml:space="preserve">Booking config</t>
  </si>
  <si>
    <t xml:space="preserve">Test bookings</t>
  </si>
  <si>
    <t xml:space="preserve">Double bookings</t>
  </si>
  <si>
    <t xml:space="preserve">Wrong time zone</t>
  </si>
  <si>
    <t xml:space="preserve">Angry customers</t>
  </si>
  <si>
    <t xml:space="preserve">AG-03</t>
  </si>
  <si>
    <t xml:space="preserve">Booking confirmations and reminders</t>
  </si>
  <si>
    <t xml:space="preserve">Email/SMS/WhatsApp confirmations, reschedule/cancel links</t>
  </si>
  <si>
    <t xml:space="preserve">Reduces no-shows</t>
  </si>
  <si>
    <t xml:space="preserve">AG-02, AC-01</t>
  </si>
  <si>
    <t xml:space="preserve">Test messages</t>
  </si>
  <si>
    <t xml:space="preserve">Messaging costs</t>
  </si>
  <si>
    <t xml:space="preserve">No cancel link</t>
  </si>
  <si>
    <t xml:space="preserve">No-shows</t>
  </si>
  <si>
    <t xml:space="preserve">AG-04</t>
  </si>
  <si>
    <t xml:space="preserve">Calendar sync</t>
  </si>
  <si>
    <t xml:space="preserve">Two-way sync with client's calendar</t>
  </si>
  <si>
    <t xml:space="preserve">Avoid conflicts</t>
  </si>
  <si>
    <t xml:space="preserve">Sync</t>
  </si>
  <si>
    <t xml:space="preserve">Test event</t>
  </si>
  <si>
    <t xml:space="preserve">Sync loops</t>
  </si>
  <si>
    <t xml:space="preserve">Syncing to developer calendar</t>
  </si>
  <si>
    <t xml:space="preserve">Conflicts</t>
  </si>
  <si>
    <t xml:space="preserve">AH-01</t>
  </si>
  <si>
    <t xml:space="preserve">AH</t>
  </si>
  <si>
    <t xml:space="preserve">Payments</t>
  </si>
  <si>
    <t xml:space="preserve">Payment gateway account (client-owned)</t>
  </si>
  <si>
    <t xml:space="preserve">Client applies and completes KYC with gateway; developer gets restricted team access</t>
  </si>
  <si>
    <t xml:space="preserve">Settlements must go to client's bank; KYC is the merchant's obligation</t>
  </si>
  <si>
    <t xml:space="preserve">Client + PM</t>
  </si>
  <si>
    <t xml:space="preserve">Gateway account</t>
  </si>
  <si>
    <t xml:space="preserve">Team invite email</t>
  </si>
  <si>
    <t xml:space="preserve">0.5–1 h (dev time)</t>
  </si>
  <si>
    <t xml:space="preserve">Account in developer's name</t>
  </si>
  <si>
    <t xml:space="preserve">Developer doing KYC for client</t>
  </si>
  <si>
    <t xml:space="preserve">Legal/financial disputes</t>
  </si>
  <si>
    <t xml:space="preserve">AH-02</t>
  </si>
  <si>
    <t xml:space="preserve">Integrate hosted/tokenised checkout</t>
  </si>
  <si>
    <t xml:space="preserve">Use gateway's hosted page or SDK so card data never touches your server</t>
  </si>
  <si>
    <t xml:space="preserve">Avoid handling card data</t>
  </si>
  <si>
    <t xml:space="preserve">Checkout integration</t>
  </si>
  <si>
    <t xml:space="preserve">Test transactions</t>
  </si>
  <si>
    <t xml:space="preserve">Storing card data</t>
  </si>
  <si>
    <t xml:space="preserve">Building custom card forms</t>
  </si>
  <si>
    <t xml:space="preserve">Serious compliance breach</t>
  </si>
  <si>
    <t xml:space="preserve">AH-03</t>
  </si>
  <si>
    <t xml:space="preserve">Webhook signature verification and idempotency</t>
  </si>
  <si>
    <t xml:space="preserve">Verify webhook signatures; confirm payment server-side; process each event once</t>
  </si>
  <si>
    <t xml:space="preserve">Prevents fake 'paid' orders</t>
  </si>
  <si>
    <t xml:space="preserve">Webhook handler</t>
  </si>
  <si>
    <t xml:space="preserve">Tests incl. forged payload</t>
  </si>
  <si>
    <t xml:space="preserve">Fraudulent orders</t>
  </si>
  <si>
    <t xml:space="preserve">Trusting redirect URL as proof of payment</t>
  </si>
  <si>
    <t xml:space="preserve">Revenue loss</t>
  </si>
  <si>
    <t xml:space="preserve">AH-04</t>
  </si>
  <si>
    <t xml:space="preserve">Refund and failed-payment flows</t>
  </si>
  <si>
    <t xml:space="preserve">Handle failures, pending, refunds and reconciliation</t>
  </si>
  <si>
    <t xml:space="preserve">Real-world payments fail</t>
  </si>
  <si>
    <t xml:space="preserve">Flows</t>
  </si>
  <si>
    <t xml:space="preserve">Test cases</t>
  </si>
  <si>
    <t xml:space="preserve">Stuck orders</t>
  </si>
  <si>
    <t xml:space="preserve">Only coding success path</t>
  </si>
  <si>
    <t xml:space="preserve">AH-05</t>
  </si>
  <si>
    <t xml:space="preserve">Test-to-live switch</t>
  </si>
  <si>
    <t xml:space="preserve">Swap to live keys stored as secrets; small real transaction test and refund</t>
  </si>
  <si>
    <t xml:space="preserve">Confirms real settlement</t>
  </si>
  <si>
    <t xml:space="preserve">Live config</t>
  </si>
  <si>
    <t xml:space="preserve">Live test txn record</t>
  </si>
  <si>
    <t xml:space="preserve">Test keys in production</t>
  </si>
  <si>
    <t xml:space="preserve">Live keys in repo</t>
  </si>
  <si>
    <t xml:space="preserve">No real payments</t>
  </si>
  <si>
    <t xml:space="preserve">AI-01</t>
  </si>
  <si>
    <t xml:space="preserve">AI</t>
  </si>
  <si>
    <t xml:space="preserve">SEO</t>
  </si>
  <si>
    <t xml:space="preserve">URL structure and slugs</t>
  </si>
  <si>
    <t xml:space="preserve">Short, readable, lowercase, hyphenated URLs matching IA</t>
  </si>
  <si>
    <t xml:space="preserve">SEO and usability</t>
  </si>
  <si>
    <t xml:space="preserve">URL map</t>
  </si>
  <si>
    <t xml:space="preserve">Changing URLs after launch</t>
  </si>
  <si>
    <t xml:space="preserve">IDs in URLs</t>
  </si>
  <si>
    <t xml:space="preserve">Lost rankings</t>
  </si>
  <si>
    <t xml:space="preserve">AI-02</t>
  </si>
  <si>
    <t xml:space="preserve">Titles and meta descriptions</t>
  </si>
  <si>
    <t xml:space="preserve">Unique title and description per page with brand and location where relevant</t>
  </si>
  <si>
    <t xml:space="preserve">Search snippets</t>
  </si>
  <si>
    <t xml:space="preserve">Content/FE</t>
  </si>
  <si>
    <t xml:space="preserve">Meta list</t>
  </si>
  <si>
    <t xml:space="preserve">Crawl report</t>
  </si>
  <si>
    <t xml:space="preserve">10–15 min/page</t>
  </si>
  <si>
    <t xml:space="preserve">Duplicate titles</t>
  </si>
  <si>
    <t xml:space="preserve">Same title on all pages</t>
  </si>
  <si>
    <t xml:space="preserve">Poor CTR</t>
  </si>
  <si>
    <t xml:space="preserve">AI-03</t>
  </si>
  <si>
    <t xml:space="preserve">Heading hierarchy</t>
  </si>
  <si>
    <t xml:space="preserve">One H1 per page, logical H2/H3 nesting</t>
  </si>
  <si>
    <t xml:space="preserve">SEO and screen readers</t>
  </si>
  <si>
    <t xml:space="preserve">Correct headings</t>
  </si>
  <si>
    <t xml:space="preserve">Crawl/a11y report</t>
  </si>
  <si>
    <t xml:space="preserve">Styling-driven headings</t>
  </si>
  <si>
    <t xml:space="preserve">Multiple H1s for styling</t>
  </si>
  <si>
    <t xml:space="preserve">Poor structure</t>
  </si>
  <si>
    <t xml:space="preserve">AI-04</t>
  </si>
  <si>
    <t xml:space="preserve">Canonical tags</t>
  </si>
  <si>
    <t xml:space="preserve">Self-referencing canonicals; handle www/non-www, trailing slash, parameters</t>
  </si>
  <si>
    <t xml:space="preserve">Avoids duplicate content</t>
  </si>
  <si>
    <t xml:space="preserve">AY-02</t>
  </si>
  <si>
    <t xml:space="preserve">Canonicals</t>
  </si>
  <si>
    <t xml:space="preserve">Canonical to staging domain</t>
  </si>
  <si>
    <t xml:space="preserve">Hard-coded staging URLs</t>
  </si>
  <si>
    <t xml:space="preserve">Indexing issues</t>
  </si>
  <si>
    <t xml:space="preserve">AI-05</t>
  </si>
  <si>
    <t xml:space="preserve">XML sitemap</t>
  </si>
  <si>
    <t xml:space="preserve">Auto-generated sitemap with production URLs only</t>
  </si>
  <si>
    <t xml:space="preserve">Helps discovery</t>
  </si>
  <si>
    <t xml:space="preserve">sitemap.xml</t>
  </si>
  <si>
    <t xml:space="preserve">Live URL</t>
  </si>
  <si>
    <t xml:space="preserve">Staging URLs in sitemap</t>
  </si>
  <si>
    <t xml:space="preserve">Including noindex pages</t>
  </si>
  <si>
    <t xml:space="preserve">Crawl waste</t>
  </si>
  <si>
    <t xml:space="preserve">AI-06</t>
  </si>
  <si>
    <t xml:space="preserve">robots.txt and staging noindex</t>
  </si>
  <si>
    <t xml:space="preserve">Production robots allows crawling and lists sitemap; staging blocked/noindex + auth</t>
  </si>
  <si>
    <t xml:space="preserve">Prevent staging indexing; allow production</t>
  </si>
  <si>
    <t xml:space="preserve">robots.txt</t>
  </si>
  <si>
    <t xml:space="preserve">Live URL check</t>
  </si>
  <si>
    <t xml:space="preserve">Launching with Disallow: /</t>
  </si>
  <si>
    <t xml:space="preserve">Copying staging robots to prod</t>
  </si>
  <si>
    <t xml:space="preserve">Site not indexed</t>
  </si>
  <si>
    <t xml:space="preserve">AI-07</t>
  </si>
  <si>
    <t xml:space="preserve">Structured data</t>
  </si>
  <si>
    <t xml:space="preserve">LocalBusiness/Organization, breadcrumbs, FAQ/Product where accurate; validate</t>
  </si>
  <si>
    <t xml:space="preserve">Rich results eligibility</t>
  </si>
  <si>
    <t xml:space="preserve">JSON-LD</t>
  </si>
  <si>
    <t xml:space="preserve">Validator screenshot</t>
  </si>
  <si>
    <t xml:space="preserve">Misleading markup</t>
  </si>
  <si>
    <t xml:space="preserve">Marking up content not on page</t>
  </si>
  <si>
    <t xml:space="preserve">Manual actions</t>
  </si>
  <si>
    <t xml:space="preserve">AI-08</t>
  </si>
  <si>
    <t xml:space="preserve">Open Graph and social cards</t>
  </si>
  <si>
    <t xml:space="preserve">og:title, og:description, og:image (1200×630), twitter card</t>
  </si>
  <si>
    <t xml:space="preserve">Good link previews on WhatsApp/social</t>
  </si>
  <si>
    <t xml:space="preserve">OG tags + image</t>
  </si>
  <si>
    <t xml:space="preserve">Share preview screenshot</t>
  </si>
  <si>
    <t xml:space="preserve">Broken previews</t>
  </si>
  <si>
    <t xml:space="preserve">No OG image</t>
  </si>
  <si>
    <t xml:space="preserve">Poor sharing</t>
  </si>
  <si>
    <t xml:space="preserve">AI-09</t>
  </si>
  <si>
    <t xml:space="preserve">Redirect map from old site</t>
  </si>
  <si>
    <t xml:space="preserve">Map old URLs to new with 301 redirects; test</t>
  </si>
  <si>
    <t xml:space="preserve">Preserves traffic and links</t>
  </si>
  <si>
    <t xml:space="preserve">FE/DevOps</t>
  </si>
  <si>
    <t xml:space="preserve">Redirect map</t>
  </si>
  <si>
    <t xml:space="preserve">Map + test results</t>
  </si>
  <si>
    <t xml:space="preserve">Traffic loss</t>
  </si>
  <si>
    <t xml:space="preserve">Redirecting everything to homepage</t>
  </si>
  <si>
    <t xml:space="preserve">AI-10</t>
  </si>
  <si>
    <t xml:space="preserve">Business profile consistency</t>
  </si>
  <si>
    <t xml:space="preserve">Ensure name, address, phone match Google Business Profile and site; link website (client-owned profile)</t>
  </si>
  <si>
    <t xml:space="preserve">Local SEO trust signals</t>
  </si>
  <si>
    <t xml:space="preserve">NAP checklist</t>
  </si>
  <si>
    <t xml:space="preserve">Profile owned by agency/stranger</t>
  </si>
  <si>
    <t xml:space="preserve">Creating profile in developer account</t>
  </si>
  <si>
    <t xml:space="preserve">Lost control of profile</t>
  </si>
  <si>
    <t xml:space="preserve">AI-11</t>
  </si>
  <si>
    <t xml:space="preserve">Search Console setup and sitemap submission</t>
  </si>
  <si>
    <t xml:space="preserve">Client verifies property (DNS preferred) as owner; developer added as user; submit sitemap</t>
  </si>
  <si>
    <t xml:space="preserve">Indexing monitoring owned by client</t>
  </si>
  <si>
    <t xml:space="preserve">AV-01</t>
  </si>
  <si>
    <t xml:space="preserve">Verified property</t>
  </si>
  <si>
    <t xml:space="preserve">Screenshot of users page</t>
  </si>
  <si>
    <t xml:space="preserve">Developer as sole verified owner</t>
  </si>
  <si>
    <t xml:space="preserve">Leaving developer tokens after handover</t>
  </si>
  <si>
    <t xml:space="preserve">Client locked out</t>
  </si>
  <si>
    <t xml:space="preserve">AJ</t>
  </si>
  <si>
    <t xml:space="preserve">Analytics</t>
  </si>
  <si>
    <t xml:space="preserve">Analytics property in client's account</t>
  </si>
  <si>
    <t xml:space="preserve">Create analytics account/property owned by client; developer as property-level user</t>
  </si>
  <si>
    <t xml:space="preserve">Data ownership</t>
  </si>
  <si>
    <t xml:space="preserve">Property</t>
  </si>
  <si>
    <t xml:space="preserve">Access-management screenshot</t>
  </si>
  <si>
    <t xml:space="preserve">Agency-owned property</t>
  </si>
  <si>
    <t xml:space="preserve">Creating under developer's account</t>
  </si>
  <si>
    <t xml:space="preserve">Data lost when relationship ends</t>
  </si>
  <si>
    <t xml:space="preserve">AJ-02</t>
  </si>
  <si>
    <t xml:space="preserve">Install tag with consent handling</t>
  </si>
  <si>
    <t xml:space="preserve">Install analytics tag; gate on consent if client adopts consent-based approach</t>
  </si>
  <si>
    <t xml:space="preserve">Privacy-respecting measurement</t>
  </si>
  <si>
    <t xml:space="preserve">AJ-01, V-23</t>
  </si>
  <si>
    <t xml:space="preserve">Tag install</t>
  </si>
  <si>
    <t xml:space="preserve">Tag assistant screenshot</t>
  </si>
  <si>
    <t xml:space="preserve">Tracking before consent</t>
  </si>
  <si>
    <t xml:space="preserve">Duplicate tags</t>
  </si>
  <si>
    <t xml:space="preserve">Bad data, complaints</t>
  </si>
  <si>
    <t xml:space="preserve">AJ-03</t>
  </si>
  <si>
    <t xml:space="preserve">Conversion and event tracking</t>
  </si>
  <si>
    <t xml:space="preserve">Track form success, calls (tel: clicks), WhatsApp clicks, bookings, purchases</t>
  </si>
  <si>
    <t xml:space="preserve">Proves value against goals</t>
  </si>
  <si>
    <t xml:space="preserve">Event plan + implementation</t>
  </si>
  <si>
    <t xml:space="preserve">Debug view screenshots</t>
  </si>
  <si>
    <t xml:space="preserve">Wrong events</t>
  </si>
  <si>
    <t xml:space="preserve">Tracking clicks not completions</t>
  </si>
  <si>
    <t xml:space="preserve">Misleading metrics</t>
  </si>
  <si>
    <t xml:space="preserve">AJ-04</t>
  </si>
  <si>
    <t xml:space="preserve">Verify analytics data</t>
  </si>
  <si>
    <t xml:space="preserve">Check real-time/debug data for page views and events on production</t>
  </si>
  <si>
    <t xml:space="preserve">Confirms tracking works</t>
  </si>
  <si>
    <t xml:space="preserve">AJ-02, AJ-03</t>
  </si>
  <si>
    <t xml:space="preserve">Verification record</t>
  </si>
  <si>
    <t xml:space="preserve">Silent tracking failure</t>
  </si>
  <si>
    <t xml:space="preserve">Checking only staging</t>
  </si>
  <si>
    <t xml:space="preserve">No data</t>
  </si>
  <si>
    <t xml:space="preserve">AK-01</t>
  </si>
  <si>
    <t xml:space="preserve">AK</t>
  </si>
  <si>
    <t xml:space="preserve">Accessibility</t>
  </si>
  <si>
    <t xml:space="preserve">Set accessibility target</t>
  </si>
  <si>
    <t xml:space="preserve">Agree target (e.g., WCAG 2.2 Level AA for templates and flows built by you) and what is out of scope (client-uploaded content)</t>
  </si>
  <si>
    <t xml:space="preserve">Makes accessibility testable and contractual</t>
  </si>
  <si>
    <t xml:space="preserve">Target statement</t>
  </si>
  <si>
    <t xml:space="preserve">Promising full 'compliance'</t>
  </si>
  <si>
    <t xml:space="preserve">Undefined target</t>
  </si>
  <si>
    <t xml:space="preserve">Disputes, legal risk</t>
  </si>
  <si>
    <t xml:space="preserve">AK-02</t>
  </si>
  <si>
    <t xml:space="preserve">Semantic HTML and landmarks</t>
  </si>
  <si>
    <t xml:space="preserve">Use header/nav/main/footer, buttons for actions, links for navigation, lists, tables correctly</t>
  </si>
  <si>
    <t xml:space="preserve">Foundation for assistive tech</t>
  </si>
  <si>
    <t xml:space="preserve">Semantic markup</t>
  </si>
  <si>
    <t xml:space="preserve">Code review note</t>
  </si>
  <si>
    <t xml:space="preserve">Built into dev</t>
  </si>
  <si>
    <t xml:space="preserve">Div soup</t>
  </si>
  <si>
    <t xml:space="preserve">Clickable divs</t>
  </si>
  <si>
    <t xml:space="preserve">Screen reader failures</t>
  </si>
  <si>
    <t xml:space="preserve">AK-03</t>
  </si>
  <si>
    <t xml:space="preserve">Keyboard navigation and focus</t>
  </si>
  <si>
    <t xml:space="preserve">All interactive elements reachable by Tab, visible focus, logical order, no traps, focus not hidden by sticky headers</t>
  </si>
  <si>
    <t xml:space="preserve">Keyboard users and WCAG 2.2 focus criteria</t>
  </si>
  <si>
    <t xml:space="preserve">FE/QA</t>
  </si>
  <si>
    <t xml:space="preserve">Keyboard test record</t>
  </si>
  <si>
    <t xml:space="preserve">Test checklist</t>
  </si>
  <si>
    <t xml:space="preserve">Invisible focus</t>
  </si>
  <si>
    <t xml:space="preserve">outline:none</t>
  </si>
  <si>
    <t xml:space="preserve">Unusable for keyboard users</t>
  </si>
  <si>
    <t xml:space="preserve">AK-04</t>
  </si>
  <si>
    <t xml:space="preserve">Alt text and media alternatives</t>
  </si>
  <si>
    <t xml:space="preserve">Meaningful alt for informative images, empty alt for decorative; captions/transcripts for video</t>
  </si>
  <si>
    <t xml:space="preserve">Non-visual access</t>
  </si>
  <si>
    <t xml:space="preserve">Alt text list</t>
  </si>
  <si>
    <t xml:space="preserve">Audit report</t>
  </si>
  <si>
    <t xml:space="preserve">Alt='image'</t>
  </si>
  <si>
    <t xml:space="preserve">Filename alt text</t>
  </si>
  <si>
    <t xml:space="preserve">AK-05</t>
  </si>
  <si>
    <t xml:space="preserve">Colour contrast verification</t>
  </si>
  <si>
    <t xml:space="preserve">Check text and UI component contrast in built site</t>
  </si>
  <si>
    <t xml:space="preserve">Readability for low vision</t>
  </si>
  <si>
    <t xml:space="preserve">Contrast report</t>
  </si>
  <si>
    <t xml:space="preserve">Tool output</t>
  </si>
  <si>
    <t xml:space="preserve">Brand colour failures</t>
  </si>
  <si>
    <t xml:space="preserve">Checking only design file</t>
  </si>
  <si>
    <t xml:space="preserve">AK-06</t>
  </si>
  <si>
    <t xml:space="preserve">Accessible form labels and errors</t>
  </si>
  <si>
    <t xml:space="preserve">Labels tied to inputs, error text announced, not colour-only, redundant entry avoided</t>
  </si>
  <si>
    <t xml:space="preserve">Forms are the conversion point</t>
  </si>
  <si>
    <t xml:space="preserve">V-15, V-16</t>
  </si>
  <si>
    <t xml:space="preserve">Form a11y test</t>
  </si>
  <si>
    <t xml:space="preserve">Checklist</t>
  </si>
  <si>
    <t xml:space="preserve">Unlabelled inputs</t>
  </si>
  <si>
    <t xml:space="preserve">Placeholder-only labels</t>
  </si>
  <si>
    <t xml:space="preserve">Lost users</t>
  </si>
  <si>
    <t xml:space="preserve">AK-07</t>
  </si>
  <si>
    <t xml:space="preserve">Automated accessibility scan</t>
  </si>
  <si>
    <t xml:space="preserve">Run automated checker on each template; fix issues</t>
  </si>
  <si>
    <t xml:space="preserve">Catches ~30–40% of issues quickly</t>
  </si>
  <si>
    <t xml:space="preserve">Scan report</t>
  </si>
  <si>
    <t xml:space="preserve">Report file</t>
  </si>
  <si>
    <t xml:space="preserve">False sense of compliance</t>
  </si>
  <si>
    <t xml:space="preserve">Treating a clean scan as 'accessible'</t>
  </si>
  <si>
    <t xml:space="preserve">Missed issues</t>
  </si>
  <si>
    <t xml:space="preserve">AK-08</t>
  </si>
  <si>
    <t xml:space="preserve">Screen reader smoke test</t>
  </si>
  <si>
    <t xml:space="preserve">Test key flows with NVDA/VoiceOver/TalkBack: headings, landmarks, forms, menus</t>
  </si>
  <si>
    <t xml:space="preserve">Real assistive-tech behaviour</t>
  </si>
  <si>
    <t xml:space="preserve">AK-02..AK-06</t>
  </si>
  <si>
    <t xml:space="preserve">Test notes</t>
  </si>
  <si>
    <t xml:space="preserve">Notes/recording</t>
  </si>
  <si>
    <t xml:space="preserve">Unannounced errors/menus</t>
  </si>
  <si>
    <t xml:space="preserve">Never testing with AT</t>
  </si>
  <si>
    <t xml:space="preserve">Hidden failures</t>
  </si>
  <si>
    <t xml:space="preserve">AL-01</t>
  </si>
  <si>
    <t xml:space="preserve">AL</t>
  </si>
  <si>
    <t xml:space="preserve">Performance</t>
  </si>
  <si>
    <t xml:space="preserve">Performance budget</t>
  </si>
  <si>
    <t xml:space="preserve">Set targets: LCP ≤2.5 s, INP ≤200 ms, CLS ≤0.1, page weight and JS limits</t>
  </si>
  <si>
    <t xml:space="preserve">Makes performance testable</t>
  </si>
  <si>
    <t xml:space="preserve">Budget</t>
  </si>
  <si>
    <t xml:space="preserve">Scope/NFR doc</t>
  </si>
  <si>
    <t xml:space="preserve">Unmeasured bloat</t>
  </si>
  <si>
    <t xml:space="preserve">No budget</t>
  </si>
  <si>
    <t xml:space="preserve">AL-02</t>
  </si>
  <si>
    <t xml:space="preserve">Image optimisation</t>
  </si>
  <si>
    <t xml:space="preserve">Modern formats, correct dimensions, compression, CDN</t>
  </si>
  <si>
    <t xml:space="preserve">Images dominate page weight</t>
  </si>
  <si>
    <t xml:space="preserve">Optimised images</t>
  </si>
  <si>
    <t xml:space="preserve">Lighthouse report</t>
  </si>
  <si>
    <t xml:space="preserve">Serving desktop images to phones</t>
  </si>
  <si>
    <t xml:space="preserve">Slow LCP</t>
  </si>
  <si>
    <t xml:space="preserve">AL-03</t>
  </si>
  <si>
    <t xml:space="preserve">Font optimisation</t>
  </si>
  <si>
    <t xml:space="preserve">Subset, preload critical, limit weights, font-display</t>
  </si>
  <si>
    <t xml:space="preserve">Faster text rendering, less shift</t>
  </si>
  <si>
    <t xml:space="preserve">Font config</t>
  </si>
  <si>
    <t xml:space="preserve">Report</t>
  </si>
  <si>
    <t xml:space="preserve">FOIT/CLS</t>
  </si>
  <si>
    <t xml:space="preserve">Many weights</t>
  </si>
  <si>
    <t xml:space="preserve">Slow render</t>
  </si>
  <si>
    <t xml:space="preserve">AL-04</t>
  </si>
  <si>
    <t xml:space="preserve">JavaScript and CSS optimisation</t>
  </si>
  <si>
    <t xml:space="preserve">Remove unused code, split bundles, defer non-critical scripts, audit third-party scripts</t>
  </si>
  <si>
    <t xml:space="preserve">INP and load time</t>
  </si>
  <si>
    <t xml:space="preserve">Optimised bundles</t>
  </si>
  <si>
    <t xml:space="preserve">Bundle report</t>
  </si>
  <si>
    <t xml:space="preserve">Breaking functionality</t>
  </si>
  <si>
    <t xml:space="preserve">Loading every library globally</t>
  </si>
  <si>
    <t xml:space="preserve">Poor INP</t>
  </si>
  <si>
    <t xml:space="preserve">AL-05</t>
  </si>
  <si>
    <t xml:space="preserve">Caching and CDN</t>
  </si>
  <si>
    <t xml:space="preserve">Cache headers for static assets (hashed filenames), compression (Brotli/gzip), CDN</t>
  </si>
  <si>
    <t xml:space="preserve">Repeat-visit speed</t>
  </si>
  <si>
    <t xml:space="preserve">AX-01</t>
  </si>
  <si>
    <t xml:space="preserve">Cache config</t>
  </si>
  <si>
    <t xml:space="preserve">Header check output</t>
  </si>
  <si>
    <t xml:space="preserve">Stale content</t>
  </si>
  <si>
    <t xml:space="preserve">Caching HTML too aggressively</t>
  </si>
  <si>
    <t xml:space="preserve">Users see old site</t>
  </si>
  <si>
    <t xml:space="preserve">AL-06</t>
  </si>
  <si>
    <t xml:space="preserve">Lab performance test (mobile)</t>
  </si>
  <si>
    <t xml:space="preserve">Lighthouse/PageSpeed on mobile profile for key templates; fix major issues</t>
  </si>
  <si>
    <t xml:space="preserve">Pre-launch check</t>
  </si>
  <si>
    <t xml:space="preserve">AL-02..AL-05</t>
  </si>
  <si>
    <t xml:space="preserve">Saved reports</t>
  </si>
  <si>
    <t xml:space="preserve">Optimising for score only</t>
  </si>
  <si>
    <t xml:space="preserve">Testing only desktop on fast Wi-Fi</t>
  </si>
  <si>
    <t xml:space="preserve">Slow for real users</t>
  </si>
  <si>
    <t xml:space="preserve">AL-07</t>
  </si>
  <si>
    <t xml:space="preserve">Field data review</t>
  </si>
  <si>
    <t xml:space="preserve">After traffic accrues, review Core Web Vitals field data (Search Console/CrUX)</t>
  </si>
  <si>
    <t xml:space="preserve">Real-user performance</t>
  </si>
  <si>
    <t xml:space="preserve">Post-launch</t>
  </si>
  <si>
    <t xml:space="preserve">BA-03</t>
  </si>
  <si>
    <t xml:space="preserve">Review note</t>
  </si>
  <si>
    <t xml:space="preserve">[POST-LAUNCH]</t>
  </si>
  <si>
    <t xml:space="preserve">Not enough traffic for data</t>
  </si>
  <si>
    <t xml:space="preserve">Relying on lab only</t>
  </si>
  <si>
    <t xml:space="preserve">Unknown real performance</t>
  </si>
  <si>
    <t xml:space="preserve">AM-01</t>
  </si>
  <si>
    <t xml:space="preserve">AM</t>
  </si>
  <si>
    <t xml:space="preserve">Security</t>
  </si>
  <si>
    <t xml:space="preserve">Dependency vulnerability audit</t>
  </si>
  <si>
    <t xml:space="preserve">Run package audit/scanner; update or replace vulnerable packages</t>
  </si>
  <si>
    <t xml:space="preserve">Supply-chain risk (OWASP A03:2025)</t>
  </si>
  <si>
    <t xml:space="preserve">Audit output</t>
  </si>
  <si>
    <t xml:space="preserve">Breaking updates</t>
  </si>
  <si>
    <t xml:space="preserve">Ignoring audit warnings</t>
  </si>
  <si>
    <t xml:space="preserve">Known vulnerabilities live</t>
  </si>
  <si>
    <t xml:space="preserve">AM-02</t>
  </si>
  <si>
    <t xml:space="preserve">Security headers</t>
  </si>
  <si>
    <t xml:space="preserve">HSTS, Content-Security-Policy, X-Content-Type-Options, Referrer-Policy, frame-ancestors, Permissions-Policy</t>
  </si>
  <si>
    <t xml:space="preserve">Hardening against common attacks</t>
  </si>
  <si>
    <t xml:space="preserve">Header config</t>
  </si>
  <si>
    <t xml:space="preserve">Header scan output</t>
  </si>
  <si>
    <t xml:space="preserve">CSP breaking scripts</t>
  </si>
  <si>
    <t xml:space="preserve">Copy-paste CSP without testing</t>
  </si>
  <si>
    <t xml:space="preserve">Weaker security</t>
  </si>
  <si>
    <t xml:space="preserve">AM-03</t>
  </si>
  <si>
    <t xml:space="preserve">Secrets scan</t>
  </si>
  <si>
    <t xml:space="preserve">Scan repo history for keys/passwords; rotate anything found</t>
  </si>
  <si>
    <t xml:space="preserve">Leaked secrets are exploited quickly</t>
  </si>
  <si>
    <t xml:space="preserve">Scan result</t>
  </si>
  <si>
    <t xml:space="preserve">Secrets in git history</t>
  </si>
  <si>
    <t xml:space="preserve">Deleting file but not history/rotating key</t>
  </si>
  <si>
    <t xml:space="preserve">Account abuse</t>
  </si>
  <si>
    <t xml:space="preserve">AM-04</t>
  </si>
  <si>
    <t xml:space="preserve">Injection and XSS review</t>
  </si>
  <si>
    <t xml:space="preserve">Review inputs/outputs; parameterised queries; output encoding; test common payloads</t>
  </si>
  <si>
    <t xml:space="preserve">OWASP A05 Injection</t>
  </si>
  <si>
    <t xml:space="preserve">BE/QA</t>
  </si>
  <si>
    <t xml:space="preserve">Review checklist</t>
  </si>
  <si>
    <t xml:space="preserve">Checklist + test log</t>
  </si>
  <si>
    <t xml:space="preserve">Stored XSS in admin</t>
  </si>
  <si>
    <t xml:space="preserve">Rendering raw HTML from users</t>
  </si>
  <si>
    <t xml:space="preserve">AM-05</t>
  </si>
  <si>
    <t xml:space="preserve">Access control review</t>
  </si>
  <si>
    <t xml:space="preserve">Try accessing other users' records, admin routes without auth, changing IDs</t>
  </si>
  <si>
    <t xml:space="preserve">OWASP A01 Broken Access Control</t>
  </si>
  <si>
    <t xml:space="preserve">Test log</t>
  </si>
  <si>
    <t xml:space="preserve">Only UI-level checks</t>
  </si>
  <si>
    <t xml:space="preserve">AM-06</t>
  </si>
  <si>
    <t xml:space="preserve">Admin protection</t>
  </si>
  <si>
    <t xml:space="preserve">MFA, strong unique passwords, login rate limits, remove default accounts, restrict admin by role</t>
  </si>
  <si>
    <t xml:space="preserve">Admin is the highest-value target</t>
  </si>
  <si>
    <t xml:space="preserve">Y-06 or AD-03</t>
  </si>
  <si>
    <t xml:space="preserve">Hardening record</t>
  </si>
  <si>
    <t xml:space="preserve">Settings screenshots</t>
  </si>
  <si>
    <t xml:space="preserve">Brute force</t>
  </si>
  <si>
    <t xml:space="preserve">Default 'admin' usernames</t>
  </si>
  <si>
    <t xml:space="preserve">AM-07</t>
  </si>
  <si>
    <t xml:space="preserve">File upload security test</t>
  </si>
  <si>
    <t xml:space="preserve">Try disallowed types, oversized files, script files, path tricks</t>
  </si>
  <si>
    <t xml:space="preserve">Upload abuse prevention</t>
  </si>
  <si>
    <t xml:space="preserve">Results</t>
  </si>
  <si>
    <t xml:space="preserve">Malware hosting</t>
  </si>
  <si>
    <t xml:space="preserve">Trusting file extension</t>
  </si>
  <si>
    <t xml:space="preserve">AM-08</t>
  </si>
  <si>
    <t xml:space="preserve">Error message and debug review</t>
  </si>
  <si>
    <t xml:space="preserve">Debug mode off; no stack traces, versions or paths shown to users</t>
  </si>
  <si>
    <t xml:space="preserve">Information leakage (misconfiguration)</t>
  </si>
  <si>
    <t xml:space="preserve">AZ-01</t>
  </si>
  <si>
    <t xml:space="preserve">Review record</t>
  </si>
  <si>
    <t xml:space="preserve">Screenshot of error page</t>
  </si>
  <si>
    <t xml:space="preserve">Leaking internals</t>
  </si>
  <si>
    <t xml:space="preserve">Shipping debug mode</t>
  </si>
  <si>
    <t xml:space="preserve">Easier attacks</t>
  </si>
  <si>
    <t xml:space="preserve">AM-09</t>
  </si>
  <si>
    <t xml:space="preserve">OWASP Top 10 checklist pass</t>
  </si>
  <si>
    <t xml:space="preserve">Walk through OWASP Top 10:2025 categories relevant to the site; record status</t>
  </si>
  <si>
    <t xml:space="preserve">Structured coverage of common risks</t>
  </si>
  <si>
    <t xml:space="preserve">AM-01..AM-08</t>
  </si>
  <si>
    <t xml:space="preserve">Completed checklist</t>
  </si>
  <si>
    <t xml:space="preserve">Box-ticking</t>
  </si>
  <si>
    <t xml:space="preserve">Treating as a pen test</t>
  </si>
  <si>
    <t xml:space="preserve">Missed risks</t>
  </si>
  <si>
    <t xml:space="preserve">AN-01</t>
  </si>
  <si>
    <t xml:space="preserve">AN</t>
  </si>
  <si>
    <t xml:space="preserve">Responsive Design</t>
  </si>
  <si>
    <t xml:space="preserve">Breakpoint testing</t>
  </si>
  <si>
    <t xml:space="preserve">Test at 320, 360, 390, 414, 768, 1024, 1280, 1440, 1920+ widths</t>
  </si>
  <si>
    <t xml:space="preserve">Layout integrity</t>
  </si>
  <si>
    <t xml:space="preserve">Overflow/horizontal scroll</t>
  </si>
  <si>
    <t xml:space="preserve">Testing only 2 widths</t>
  </si>
  <si>
    <t xml:space="preserve">Broken layouts</t>
  </si>
  <si>
    <t xml:space="preserve">AN-02</t>
  </si>
  <si>
    <t xml:space="preserve">Real device testing</t>
  </si>
  <si>
    <t xml:space="preserve">Test on at least one mid-range Android (Chrome), one iPhone (Safari), one tablet</t>
  </si>
  <si>
    <t xml:space="preserve">Emulators miss real issues</t>
  </si>
  <si>
    <t xml:space="preserve">Device test log</t>
  </si>
  <si>
    <t xml:space="preserve">Photos/screenshots</t>
  </si>
  <si>
    <t xml:space="preserve">iOS Safari quirks</t>
  </si>
  <si>
    <t xml:space="preserve">Only using DevTools emulation</t>
  </si>
  <si>
    <t xml:space="preserve">Client finds bugs on own phone</t>
  </si>
  <si>
    <t xml:space="preserve">AN-03</t>
  </si>
  <si>
    <t xml:space="preserve">Touch targets and orientation</t>
  </si>
  <si>
    <t xml:space="preserve">Targets ≥24px (aim 44px), spacing, landscape orientation, zoom not disabled</t>
  </si>
  <si>
    <t xml:space="preserve">Usability and WCAG 2.2 target size</t>
  </si>
  <si>
    <t xml:space="preserve">Mis-taps</t>
  </si>
  <si>
    <t xml:space="preserve">Disabling pinch zoom</t>
  </si>
  <si>
    <t xml:space="preserve">Frustration</t>
  </si>
  <si>
    <t xml:space="preserve">AO-01</t>
  </si>
  <si>
    <t xml:space="preserve">AO</t>
  </si>
  <si>
    <t xml:space="preserve">Cross-browser Testing</t>
  </si>
  <si>
    <t xml:space="preserve">Browser support matrix</t>
  </si>
  <si>
    <t xml:space="preserve">Define supported browsers/versions in scope (latest 2 versions of Chrome, Edge, Firefox, Safari incl. iOS)</t>
  </si>
  <si>
    <t xml:space="preserve">Limits testing scope</t>
  </si>
  <si>
    <t xml:space="preserve">Matrix</t>
  </si>
  <si>
    <t xml:space="preserve">Client expects ancient browser support</t>
  </si>
  <si>
    <t xml:space="preserve">Leaving undefined</t>
  </si>
  <si>
    <t xml:space="preserve">Endless bug claims</t>
  </si>
  <si>
    <t xml:space="preserve">AO-02</t>
  </si>
  <si>
    <t xml:space="preserve">Cross-browser testing</t>
  </si>
  <si>
    <t xml:space="preserve">Test key pages/flows in each matrix browser</t>
  </si>
  <si>
    <t xml:space="preserve">Consistent experience</t>
  </si>
  <si>
    <t xml:space="preserve">Safari-only bugs</t>
  </si>
  <si>
    <t xml:space="preserve">Testing only Chrome</t>
  </si>
  <si>
    <t xml:space="preserve">Broken for iPhone users</t>
  </si>
  <si>
    <t xml:space="preserve">AO-03</t>
  </si>
  <si>
    <t xml:space="preserve">Fix browser-specific issues</t>
  </si>
  <si>
    <t xml:space="preserve">Resolve CSS/JS compatibility issues found</t>
  </si>
  <si>
    <t xml:space="preserve">Consistency</t>
  </si>
  <si>
    <t xml:space="preserve">Fixes</t>
  </si>
  <si>
    <t xml:space="preserve">Hacks that break others</t>
  </si>
  <si>
    <t xml:space="preserve">Browser sniffing</t>
  </si>
  <si>
    <t xml:space="preserve">Inconsistent site</t>
  </si>
  <si>
    <t xml:space="preserve">AP-01</t>
  </si>
  <si>
    <t xml:space="preserve">AP</t>
  </si>
  <si>
    <t xml:space="preserve">Tailor QA test plan</t>
  </si>
  <si>
    <t xml:space="preserve">Copy master QA checklist, remove non-applicable items, add project-specific flows</t>
  </si>
  <si>
    <t xml:space="preserve">Right-sized, complete testing</t>
  </si>
  <si>
    <t xml:space="preserve">Project QA checklist</t>
  </si>
  <si>
    <t xml:space="preserve">Checklist file</t>
  </si>
  <si>
    <t xml:space="preserve">Missed flows</t>
  </si>
  <si>
    <t xml:space="preserve">Using generic checklist unchanged</t>
  </si>
  <si>
    <t xml:space="preserve">Gaps</t>
  </si>
  <si>
    <t xml:space="preserve">AP-02</t>
  </si>
  <si>
    <t xml:space="preserve">Functional testing</t>
  </si>
  <si>
    <t xml:space="preserve">Test every link, button, form, navigation, search/filter, login flows per checklist</t>
  </si>
  <si>
    <t xml:space="preserve">Catch defects before client does</t>
  </si>
  <si>
    <t xml:space="preserve">QA (not the builder where possible)</t>
  </si>
  <si>
    <t xml:space="preserve">Test results</t>
  </si>
  <si>
    <t xml:space="preserve">Completed checklist + bug list</t>
  </si>
  <si>
    <t xml:space="preserve">Self-testing blind spots</t>
  </si>
  <si>
    <t xml:space="preserve">Developer testing own work only</t>
  </si>
  <si>
    <t xml:space="preserve">Client finds basic bugs</t>
  </si>
  <si>
    <t xml:space="preserve">AP-03</t>
  </si>
  <si>
    <t xml:space="preserve">Content QA</t>
  </si>
  <si>
    <t xml:space="preserve">Spelling, grammar, phone numbers (tap-to-call works), emails, address, prices, hours, social links, legal pages present</t>
  </si>
  <si>
    <t xml:space="preserve">Wrong contact info is costly</t>
  </si>
  <si>
    <t xml:space="preserve">Content/QA</t>
  </si>
  <si>
    <t xml:space="preserve">Content QA sheet</t>
  </si>
  <si>
    <t xml:space="preserve">Wrong phone number live</t>
  </si>
  <si>
    <t xml:space="preserve">Not checking against client source</t>
  </si>
  <si>
    <t xml:space="preserve">AP-04</t>
  </si>
  <si>
    <t xml:space="preserve">Regression testing</t>
  </si>
  <si>
    <t xml:space="preserve">Re-run key checks after fixes and before launch</t>
  </si>
  <si>
    <t xml:space="preserve">Fixes break other things</t>
  </si>
  <si>
    <t xml:space="preserve">AQ-02</t>
  </si>
  <si>
    <t xml:space="preserve">Regression record</t>
  </si>
  <si>
    <t xml:space="preserve">New bugs from fixes</t>
  </si>
  <si>
    <t xml:space="preserve">Only retesting the fixed bug</t>
  </si>
  <si>
    <t xml:space="preserve">Launch-day surprises</t>
  </si>
  <si>
    <t xml:space="preserve">AP-05</t>
  </si>
  <si>
    <t xml:space="preserve">UAT preparation</t>
  </si>
  <si>
    <t xml:space="preserve">Prepare staging, test script and feedback template for client acceptance testing</t>
  </si>
  <si>
    <t xml:space="preserve">Structured client testing</t>
  </si>
  <si>
    <t xml:space="preserve">Review</t>
  </si>
  <si>
    <t xml:space="preserve">UAT pack</t>
  </si>
  <si>
    <t xml:space="preserve">Sent pack</t>
  </si>
  <si>
    <t xml:space="preserve">Unstructured feedback</t>
  </si>
  <si>
    <t xml:space="preserve">Just sending a link</t>
  </si>
  <si>
    <t xml:space="preserve">Chaotic feedback</t>
  </si>
  <si>
    <t xml:space="preserve">AQ-01</t>
  </si>
  <si>
    <t xml:space="preserve">AQ</t>
  </si>
  <si>
    <t xml:space="preserve">Bug Fixing</t>
  </si>
  <si>
    <t xml:space="preserve">Bug triage</t>
  </si>
  <si>
    <t xml:space="preserve">Log each issue with steps, expected/actual, device, severity (blocker/major/minor/cosmetic), classify bug vs change</t>
  </si>
  <si>
    <t xml:space="preserve">Prioritises and separates defects from new requests</t>
  </si>
  <si>
    <t xml:space="preserve">AP-02 or AR-02</t>
  </si>
  <si>
    <t xml:space="preserve">PM/QA</t>
  </si>
  <si>
    <t xml:space="preserve">Triaged bug list</t>
  </si>
  <si>
    <t xml:space="preserve">Tracker entries</t>
  </si>
  <si>
    <t xml:space="preserve">5 min/bug</t>
  </si>
  <si>
    <t xml:space="preserve">Change requests disguised as bugs</t>
  </si>
  <si>
    <t xml:space="preserve">Fixing without logging</t>
  </si>
  <si>
    <t xml:space="preserve">Unpaid scope</t>
  </si>
  <si>
    <t xml:space="preserve">Fix bugs</t>
  </si>
  <si>
    <t xml:space="preserve">Resolve bugs by priority with commit references</t>
  </si>
  <si>
    <t xml:space="preserve">Quality</t>
  </si>
  <si>
    <t xml:space="preserve">Commits linked to bug IDs</t>
  </si>
  <si>
    <t xml:space="preserve">Unlinked commits</t>
  </si>
  <si>
    <t xml:space="preserve">No traceability</t>
  </si>
  <si>
    <t xml:space="preserve">AQ-03</t>
  </si>
  <si>
    <t xml:space="preserve">Verify and close bugs</t>
  </si>
  <si>
    <t xml:space="preserve">Tester (ideally other partner) verifies on staging; closes with evidence</t>
  </si>
  <si>
    <t xml:space="preserve">Independent verification</t>
  </si>
  <si>
    <t xml:space="preserve">Closed bugs</t>
  </si>
  <si>
    <t xml:space="preserve">Tracker status + screenshot</t>
  </si>
  <si>
    <t xml:space="preserve">5–10 min/bug</t>
  </si>
  <si>
    <t xml:space="preserve">False closes</t>
  </si>
  <si>
    <t xml:space="preserve">Closing own bugs without check</t>
  </si>
  <si>
    <t xml:space="preserve">Bugs reappear</t>
  </si>
  <si>
    <t xml:space="preserve">AR-01</t>
  </si>
  <si>
    <t xml:space="preserve">AR</t>
  </si>
  <si>
    <t xml:space="preserve">Client Review</t>
  </si>
  <si>
    <t xml:space="preserve">Staging review walkthrough</t>
  </si>
  <si>
    <t xml:space="preserve">Walk client through staging site, how to give feedback, deadline for round</t>
  </si>
  <si>
    <t xml:space="preserve">Guided review is faster</t>
  </si>
  <si>
    <t xml:space="preserve">Client reviews on wrong URL/cache</t>
  </si>
  <si>
    <t xml:space="preserve">No deadline</t>
  </si>
  <si>
    <t xml:space="preserve">Delays</t>
  </si>
  <si>
    <t xml:space="preserve">AR-02</t>
  </si>
  <si>
    <t xml:space="preserve">Collect consolidated client feedback</t>
  </si>
  <si>
    <t xml:space="preserve">One list from decision-maker per round with page, issue, screenshot</t>
  </si>
  <si>
    <t xml:space="preserve">Client doc/email</t>
  </si>
  <si>
    <t xml:space="preserve">Drip feedback</t>
  </si>
  <si>
    <t xml:space="preserve">Accepting WhatsApp voice notes as feedback</t>
  </si>
  <si>
    <t xml:space="preserve">Lost items</t>
  </si>
  <si>
    <t xml:space="preserve">AR-03</t>
  </si>
  <si>
    <t xml:space="preserve">Classify feedback</t>
  </si>
  <si>
    <t xml:space="preserve">Mark each item: bug (free), in-scope revision (counts toward round), change request (priced)</t>
  </si>
  <si>
    <t xml:space="preserve">Fair and transparent</t>
  </si>
  <si>
    <t xml:space="preserve">Classified list</t>
  </si>
  <si>
    <t xml:space="preserve">Doc sent to client</t>
  </si>
  <si>
    <t xml:space="preserve">Client disagreement</t>
  </si>
  <si>
    <t xml:space="preserve">Classifying silently</t>
  </si>
  <si>
    <t xml:space="preserve">Scope disputes</t>
  </si>
  <si>
    <t xml:space="preserve">AS-01</t>
  </si>
  <si>
    <t xml:space="preserve">AS</t>
  </si>
  <si>
    <t xml:space="preserve">Revisions</t>
  </si>
  <si>
    <t xml:space="preserve">Revision round 1</t>
  </si>
  <si>
    <t xml:space="preserve">Implement in-scope revisions from round 1; send summary of changes</t>
  </si>
  <si>
    <t xml:space="preserve">Delivers agreed refinements</t>
  </si>
  <si>
    <t xml:space="preserve">FE/Design</t>
  </si>
  <si>
    <t xml:space="preserve">Updated staging</t>
  </si>
  <si>
    <t xml:space="preserve">Change summary + commits</t>
  </si>
  <si>
    <t xml:space="preserve">2–8 h</t>
  </si>
  <si>
    <t xml:space="preserve">Scope sneaks in</t>
  </si>
  <si>
    <t xml:space="preserve">Not listing what changed</t>
  </si>
  <si>
    <t xml:space="preserve">Repeat requests</t>
  </si>
  <si>
    <t xml:space="preserve">AS-02</t>
  </si>
  <si>
    <t xml:space="preserve">Revision round 2</t>
  </si>
  <si>
    <t xml:space="preserve">Final in-scope round</t>
  </si>
  <si>
    <t xml:space="preserve">Closure</t>
  </si>
  <si>
    <t xml:space="preserve">Change summary</t>
  </si>
  <si>
    <t xml:space="preserve">Allowing 'round 2.5'</t>
  </si>
  <si>
    <t xml:space="preserve">AS-03</t>
  </si>
  <si>
    <t xml:space="preserve">Revision count notice</t>
  </si>
  <si>
    <t xml:space="preserve">Tell client when included rounds are used and how further changes are billed</t>
  </si>
  <si>
    <t xml:space="preserve">Transparency before extra charges</t>
  </si>
  <si>
    <t xml:space="preserve">Notice</t>
  </si>
  <si>
    <t xml:space="preserve">Sent message</t>
  </si>
  <si>
    <t xml:space="preserve">Surprise invoices</t>
  </si>
  <si>
    <t xml:space="preserve">Billing without prior notice</t>
  </si>
  <si>
    <t xml:space="preserve">Payment disputes</t>
  </si>
  <si>
    <t xml:space="preserve">AT-01</t>
  </si>
  <si>
    <t xml:space="preserve">AT</t>
  </si>
  <si>
    <t xml:space="preserve">Scope Changes</t>
  </si>
  <si>
    <t xml:space="preserve">Log change request</t>
  </si>
  <si>
    <t xml:space="preserve">Record requested change: description, requester, date, reason, priority</t>
  </si>
  <si>
    <t xml:space="preserve">Every change needs a record</t>
  </si>
  <si>
    <t xml:space="preserve">Any</t>
  </si>
  <si>
    <t xml:space="preserve">CR entry</t>
  </si>
  <si>
    <t xml:space="preserve">CR form</t>
  </si>
  <si>
    <t xml:space="preserve">Verbal 'small' changes pile up</t>
  </si>
  <si>
    <t xml:space="preserve">Just doing it</t>
  </si>
  <si>
    <t xml:space="preserve">AT-02</t>
  </si>
  <si>
    <t xml:space="preserve">Change impact assessment</t>
  </si>
  <si>
    <t xml:space="preserve">Estimate effort, cost, timeline and risk impact; note dependencies</t>
  </si>
  <si>
    <t xml:space="preserve">Informed decision for client</t>
  </si>
  <si>
    <t xml:space="preserve">PM/Dev</t>
  </si>
  <si>
    <t xml:space="preserve">Impact note</t>
  </si>
  <si>
    <t xml:space="preserve">Underestimating</t>
  </si>
  <si>
    <t xml:space="preserve">Quoting on the spot</t>
  </si>
  <si>
    <t xml:space="preserve">AT-03</t>
  </si>
  <si>
    <t xml:space="preserve">Change order approval and invoice</t>
  </si>
  <si>
    <t xml:space="preserve">Client approves CR in writing (price, timeline shift); add to invoice schedule</t>
  </si>
  <si>
    <t xml:space="preserve">Converts requests into paid work</t>
  </si>
  <si>
    <t xml:space="preserve">Approved CR</t>
  </si>
  <si>
    <t xml:space="preserve">Signed CR/email</t>
  </si>
  <si>
    <t xml:space="preserve">Doing work before approval</t>
  </si>
  <si>
    <t xml:space="preserve">No timeline adjustment</t>
  </si>
  <si>
    <t xml:space="preserve">Unpaid work, deadline disputes</t>
  </si>
  <si>
    <t xml:space="preserve">AU-01</t>
  </si>
  <si>
    <t xml:space="preserve">AU</t>
  </si>
  <si>
    <t xml:space="preserve">Deployment</t>
  </si>
  <si>
    <t xml:space="preserve">CI/CD pipeline</t>
  </si>
  <si>
    <t xml:space="preserve">Automated build/test/deploy from main branch to staging/prod (host-native or CI)</t>
  </si>
  <si>
    <t xml:space="preserve">Repeatable, auditable deploys</t>
  </si>
  <si>
    <t xml:space="preserve">Pipeline</t>
  </si>
  <si>
    <t xml:space="preserve">Pipeline run log</t>
  </si>
  <si>
    <t xml:space="preserve">Secrets in pipeline logs</t>
  </si>
  <si>
    <t xml:space="preserve">Manual FTP deploys</t>
  </si>
  <si>
    <t xml:space="preserve">Error-prone deploys</t>
  </si>
  <si>
    <t xml:space="preserve">AU-02</t>
  </si>
  <si>
    <t xml:space="preserve">Production build and environment variables</t>
  </si>
  <si>
    <t xml:space="preserve">Set production env vars in host secret store; build with production settings</t>
  </si>
  <si>
    <t xml:space="preserve">Correct configuration</t>
  </si>
  <si>
    <t xml:space="preserve">Prod config</t>
  </si>
  <si>
    <t xml:space="preserve">Checklist (names only)</t>
  </si>
  <si>
    <t xml:space="preserve">Staging keys in prod</t>
  </si>
  <si>
    <t xml:space="preserve">Pasting secrets into code</t>
  </si>
  <si>
    <t xml:space="preserve">Broken or leaked integrations</t>
  </si>
  <si>
    <t xml:space="preserve">AU-03</t>
  </si>
  <si>
    <t xml:space="preserve">Deploy to production</t>
  </si>
  <si>
    <t xml:space="preserve">Deploy tagged release; record version, time, deployer</t>
  </si>
  <si>
    <t xml:space="preserve">Launch step</t>
  </si>
  <si>
    <t xml:space="preserve">AU-02, BA-01</t>
  </si>
  <si>
    <t xml:space="preserve">Live deployment</t>
  </si>
  <si>
    <t xml:space="preserve">Deploy log + release tag</t>
  </si>
  <si>
    <t xml:space="preserve">Deploying untested build</t>
  </si>
  <si>
    <t xml:space="preserve">Deploying Friday night</t>
  </si>
  <si>
    <t xml:space="preserve">Outage</t>
  </si>
  <si>
    <t xml:space="preserve">AU-04</t>
  </si>
  <si>
    <t xml:space="preserve">Rollback plan</t>
  </si>
  <si>
    <t xml:space="preserve">Documented and tested way to revert to previous release and restore DB</t>
  </si>
  <si>
    <t xml:space="preserve">Recover quickly from bad deploys</t>
  </si>
  <si>
    <t xml:space="preserve">Rollback doc</t>
  </si>
  <si>
    <t xml:space="preserve">Doc + test note</t>
  </si>
  <si>
    <t xml:space="preserve">Long outage</t>
  </si>
  <si>
    <t xml:space="preserve">No previous build retained</t>
  </si>
  <si>
    <t xml:space="preserve">Extended downtime</t>
  </si>
  <si>
    <t xml:space="preserve">AV</t>
  </si>
  <si>
    <t xml:space="preserve">Domain</t>
  </si>
  <si>
    <t xml:space="preserve">Domain registration or ownership confirmation</t>
  </si>
  <si>
    <t xml:space="preserve">Domain registered by client (their registrar account, client as registrant) or client confirms existing ownership; record expiry date</t>
  </si>
  <si>
    <t xml:space="preserve">Whoever controls the domain controls the website</t>
  </si>
  <si>
    <t xml:space="preserve">Domain record</t>
  </si>
  <si>
    <t xml:space="preserve">WHOIS/registrar screenshot, invoice in client name</t>
  </si>
  <si>
    <t xml:space="preserve">Developer-registered domain disputes</t>
  </si>
  <si>
    <t xml:space="preserve">Registering in developer's name 'to save time'</t>
  </si>
  <si>
    <t xml:space="preserve">Client loses domain</t>
  </si>
  <si>
    <t xml:space="preserve">AV-02</t>
  </si>
  <si>
    <t xml:space="preserve">Registrar account security</t>
  </si>
  <si>
    <t xml:space="preserve">Client enables MFA, registrar lock, auto-renew, valid recovery email/phone</t>
  </si>
  <si>
    <t xml:space="preserve">Domain hijack and expiry prevention</t>
  </si>
  <si>
    <t xml:space="preserve">Security checklist</t>
  </si>
  <si>
    <t xml:space="preserve">Expiry, hijack</t>
  </si>
  <si>
    <t xml:space="preserve">Recovery email is developer's</t>
  </si>
  <si>
    <t xml:space="preserve">Site goes offline</t>
  </si>
  <si>
    <t xml:space="preserve">AV-03</t>
  </si>
  <si>
    <t xml:space="preserve">Record renewal dates</t>
  </si>
  <si>
    <t xml:space="preserve">Record domain, SSL (if manual), hosting, licence renewals in register and reminders</t>
  </si>
  <si>
    <t xml:space="preserve">Renewals are the most forgotten item</t>
  </si>
  <si>
    <t xml:space="preserve">Renewal register</t>
  </si>
  <si>
    <t xml:space="preserve">Expired domain</t>
  </si>
  <si>
    <t xml:space="preserve">Relying on memory</t>
  </si>
  <si>
    <t xml:space="preserve">Outage, domain loss</t>
  </si>
  <si>
    <t xml:space="preserve">AW</t>
  </si>
  <si>
    <t xml:space="preserve">DNS</t>
  </si>
  <si>
    <t xml:space="preserve">DNS record inventory and plan</t>
  </si>
  <si>
    <t xml:space="preserve">Export current DNS (MX, TXT, SPF, DKIM, verification, subdomains) before changes; plan new records; lower TTL 24–48 h ahead</t>
  </si>
  <si>
    <t xml:space="preserve">Avoid breaking email/other services</t>
  </si>
  <si>
    <t xml:space="preserve">DNS plan + backup export</t>
  </si>
  <si>
    <t xml:space="preserve">Export file</t>
  </si>
  <si>
    <t xml:space="preserve">Deleting MX records</t>
  </si>
  <si>
    <t xml:space="preserve">Changing nameservers without copying records</t>
  </si>
  <si>
    <t xml:space="preserve">AW-02</t>
  </si>
  <si>
    <t xml:space="preserve">DNS cutover</t>
  </si>
  <si>
    <t xml:space="preserve">Apply records (A/AAAA/CNAME) in client-controlled DNS</t>
  </si>
  <si>
    <t xml:space="preserve">Point domain to new site</t>
  </si>
  <si>
    <t xml:space="preserve">AW-01, AU-03</t>
  </si>
  <si>
    <t xml:space="preserve">Updated DNS</t>
  </si>
  <si>
    <t xml:space="preserve">Before/after lookup output</t>
  </si>
  <si>
    <t xml:space="preserve">Downtime during propagation</t>
  </si>
  <si>
    <t xml:space="preserve">Cutover at peak hours</t>
  </si>
  <si>
    <t xml:space="preserve">AW-03</t>
  </si>
  <si>
    <t xml:space="preserve">Propagation check and cleanup</t>
  </si>
  <si>
    <t xml:space="preserve">Verify from multiple resolvers; restore normal TTL; remove obsolete records</t>
  </si>
  <si>
    <t xml:space="preserve">Stable DNS</t>
  </si>
  <si>
    <t xml:space="preserve">Clean DNS</t>
  </si>
  <si>
    <t xml:space="preserve">Lookup outputs</t>
  </si>
  <si>
    <t xml:space="preserve">Dangling records (subdomain takeover)</t>
  </si>
  <si>
    <t xml:space="preserve">Leaving old CNAMEs to deleted services</t>
  </si>
  <si>
    <t xml:space="preserve">Security risk</t>
  </si>
  <si>
    <t xml:space="preserve">AX</t>
  </si>
  <si>
    <t xml:space="preserve">Hosting</t>
  </si>
  <si>
    <t xml:space="preserve">Hosting selection and sizing</t>
  </si>
  <si>
    <t xml:space="preserve">Choose host by stack, traffic, region, backups, support, cost, renewal price</t>
  </si>
  <si>
    <t xml:space="preserve">Reliability and cost</t>
  </si>
  <si>
    <t xml:space="preserve">Hosting decision</t>
  </si>
  <si>
    <t xml:space="preserve">ADR + price note</t>
  </si>
  <si>
    <t xml:space="preserve">Cheap first-year, expensive renewal</t>
  </si>
  <si>
    <t xml:space="preserve">Ignoring renewal pricing</t>
  </si>
  <si>
    <t xml:space="preserve">Surprise costs</t>
  </si>
  <si>
    <t xml:space="preserve">AX-02</t>
  </si>
  <si>
    <t xml:space="preserve">Hosting account in client's name</t>
  </si>
  <si>
    <t xml:space="preserve">Client creates account and billing; developer invited as member/collaborator</t>
  </si>
  <si>
    <t xml:space="preserve">Client ownership and billing clarity</t>
  </si>
  <si>
    <t xml:space="preserve">Hosting account</t>
  </si>
  <si>
    <t xml:space="preserve">Invite email, billing screenshot</t>
  </si>
  <si>
    <t xml:space="preserve">Developer card billed forever</t>
  </si>
  <si>
    <t xml:space="preserve">Hosting under agency account</t>
  </si>
  <si>
    <t xml:space="preserve">Lock-in disputes</t>
  </si>
  <si>
    <t xml:space="preserve">AX-03</t>
  </si>
  <si>
    <t xml:space="preserve">Server hardening</t>
  </si>
  <si>
    <t xml:space="preserve">For VPS: OS updates, firewall, SSH keys only, no root login, fail2ban/equivalent, automatic security updates</t>
  </si>
  <si>
    <t xml:space="preserve">Unmanaged servers get compromised</t>
  </si>
  <si>
    <t xml:space="preserve">Hardening checklist</t>
  </si>
  <si>
    <t xml:space="preserve">Checklist + config</t>
  </si>
  <si>
    <t xml:space="preserve">Password SSH login</t>
  </si>
  <si>
    <t xml:space="preserve">AY-01</t>
  </si>
  <si>
    <t xml:space="preserve">AY</t>
  </si>
  <si>
    <t xml:space="preserve">SSL/HTTPS</t>
  </si>
  <si>
    <t xml:space="preserve">TLS certificate issuance and auto-renewal</t>
  </si>
  <si>
    <t xml:space="preserve">Issue certificate (host-managed or ACME) for apex and www; confirm auto-renew</t>
  </si>
  <si>
    <t xml:space="preserve">HTTPS required by browsers and users</t>
  </si>
  <si>
    <t xml:space="preserve">Valid certificate</t>
  </si>
  <si>
    <t xml:space="preserve">Browser/SSL check</t>
  </si>
  <si>
    <t xml:space="preserve">Expired certificate</t>
  </si>
  <si>
    <t xml:space="preserve">Manual certs without reminders</t>
  </si>
  <si>
    <t xml:space="preserve">Browser warnings</t>
  </si>
  <si>
    <t xml:space="preserve">HTTPS and canonical host redirects</t>
  </si>
  <si>
    <t xml:space="preserve">301 HTTP→HTTPS and non-canonical host (www or apex) to canonical; HSTS when stable</t>
  </si>
  <si>
    <t xml:space="preserve">Single secure URL</t>
  </si>
  <si>
    <t xml:space="preserve">Redirect rules</t>
  </si>
  <si>
    <t xml:space="preserve">curl/redirect test output</t>
  </si>
  <si>
    <t xml:space="preserve">Redirect loops</t>
  </si>
  <si>
    <t xml:space="preserve">Mixed www/non-www</t>
  </si>
  <si>
    <t xml:space="preserve">Duplicate content</t>
  </si>
  <si>
    <t xml:space="preserve">AY-03</t>
  </si>
  <si>
    <t xml:space="preserve">Mixed content check</t>
  </si>
  <si>
    <t xml:space="preserve">Ensure all assets load over HTTPS</t>
  </si>
  <si>
    <t xml:space="preserve">Avoid warnings/blocked assets</t>
  </si>
  <si>
    <t xml:space="preserve">Check result</t>
  </si>
  <si>
    <t xml:space="preserve">0.25 h</t>
  </si>
  <si>
    <t xml:space="preserve">Broken images/scripts</t>
  </si>
  <si>
    <t xml:space="preserve">Hard-coded http:// URLs</t>
  </si>
  <si>
    <t xml:space="preserve">Security warnings</t>
  </si>
  <si>
    <t xml:space="preserve">AZ</t>
  </si>
  <si>
    <t xml:space="preserve">Production Environment</t>
  </si>
  <si>
    <t xml:space="preserve">Production configuration review</t>
  </si>
  <si>
    <t xml:space="preserve">Debug off, correct env, logging level, error pages, timezone, email sender</t>
  </si>
  <si>
    <t xml:space="preserve">Misconfiguration is OWASP A02</t>
  </si>
  <si>
    <t xml:space="preserve">Debug mode live</t>
  </si>
  <si>
    <t xml:space="preserve">Copying dev config</t>
  </si>
  <si>
    <t xml:space="preserve">Leaks</t>
  </si>
  <si>
    <t xml:space="preserve">AZ-02</t>
  </si>
  <si>
    <t xml:space="preserve">Storage permissions</t>
  </si>
  <si>
    <t xml:space="preserve">Buckets private by default; public only for public assets; signed URLs for private files</t>
  </si>
  <si>
    <t xml:space="preserve">Prevents data exposure</t>
  </si>
  <si>
    <t xml:space="preserve">Storage config</t>
  </si>
  <si>
    <t xml:space="preserve">Policy screenshot</t>
  </si>
  <si>
    <t xml:space="preserve">Public bucket leaks</t>
  </si>
  <si>
    <t xml:space="preserve">Whole bucket public</t>
  </si>
  <si>
    <t xml:space="preserve">Data breach</t>
  </si>
  <si>
    <t xml:space="preserve">AZ-03</t>
  </si>
  <si>
    <t xml:space="preserve">Uptime monitoring</t>
  </si>
  <si>
    <t xml:space="preserve">Monitor homepage and key endpoint; alerts to client and/or maintainer</t>
  </si>
  <si>
    <t xml:space="preserve">Know about outages first</t>
  </si>
  <si>
    <t xml:space="preserve">Monitor</t>
  </si>
  <si>
    <t xml:space="preserve">Monitor screenshot</t>
  </si>
  <si>
    <t xml:space="preserve">0.25–0.5 h</t>
  </si>
  <si>
    <t xml:space="preserve">Unnoticed downtime</t>
  </si>
  <si>
    <t xml:space="preserve">Alerts only to developer after handover</t>
  </si>
  <si>
    <t xml:space="preserve">Long outages</t>
  </si>
  <si>
    <t xml:space="preserve">AZ-04</t>
  </si>
  <si>
    <t xml:space="preserve">Error monitoring</t>
  </si>
  <si>
    <t xml:space="preserve">Capture frontend/backend errors with PII scrubbing</t>
  </si>
  <si>
    <t xml:space="preserve">Detect bugs in production</t>
  </si>
  <si>
    <t xml:space="preserve">Dashboard screenshot</t>
  </si>
  <si>
    <t xml:space="preserve">Capturing personal data</t>
  </si>
  <si>
    <t xml:space="preserve">No scrubbing</t>
  </si>
  <si>
    <t xml:space="preserve">Privacy issues</t>
  </si>
  <si>
    <t xml:space="preserve">BA-01</t>
  </si>
  <si>
    <t xml:space="preserve">BA</t>
  </si>
  <si>
    <t xml:space="preserve">Run pre-launch checklist</t>
  </si>
  <si>
    <t xml:space="preserve">Complete launch checklist (SEO, forms, analytics, legal pages, redirects, backups, robots)</t>
  </si>
  <si>
    <t xml:space="preserve">Launch-day errors are public</t>
  </si>
  <si>
    <t xml:space="preserve">AP-04, AS-final</t>
  </si>
  <si>
    <t xml:space="preserve">QA/PM</t>
  </si>
  <si>
    <t xml:space="preserve">Skipped items</t>
  </si>
  <si>
    <t xml:space="preserve">Doing it from memory</t>
  </si>
  <si>
    <t xml:space="preserve">Public mistakes</t>
  </si>
  <si>
    <t xml:space="preserve">BA-02</t>
  </si>
  <si>
    <t xml:space="preserve">Final approval and launch window</t>
  </si>
  <si>
    <t xml:space="preserve">Client gives written final approval; agree go-live date/time (avoid Friday evening, festivals)</t>
  </si>
  <si>
    <t xml:space="preserve">Approval before public launch</t>
  </si>
  <si>
    <t xml:space="preserve">Final approval + schedule</t>
  </si>
  <si>
    <t xml:space="preserve">Launching unapproved</t>
  </si>
  <si>
    <t xml:space="preserve">Verbal go-ahead</t>
  </si>
  <si>
    <t xml:space="preserve">Go-live</t>
  </si>
  <si>
    <t xml:space="preserve">Execute deploy + DNS cutover per plan; monitor</t>
  </si>
  <si>
    <t xml:space="preserve">BA-02, AU-03, AW-02</t>
  </si>
  <si>
    <t xml:space="preserve">Live website</t>
  </si>
  <si>
    <t xml:space="preserve">Timestamped log</t>
  </si>
  <si>
    <t xml:space="preserve">Downtime</t>
  </si>
  <si>
    <t xml:space="preserve">No one monitoring after cutover</t>
  </si>
  <si>
    <t xml:space="preserve">Extended outage</t>
  </si>
  <si>
    <t xml:space="preserve">BA-04</t>
  </si>
  <si>
    <t xml:space="preserve">Staging lockdown</t>
  </si>
  <si>
    <t xml:space="preserve">Ensure staging remains password-protected/noindexed or is taken down</t>
  </si>
  <si>
    <t xml:space="preserve">Avoid duplicate content and leaks</t>
  </si>
  <si>
    <t xml:space="preserve">Staging status</t>
  </si>
  <si>
    <t xml:space="preserve">Staging indexed</t>
  </si>
  <si>
    <t xml:space="preserve">Forgetting staging</t>
  </si>
  <si>
    <t xml:space="preserve">SEO duplicate, leaks</t>
  </si>
  <si>
    <t xml:space="preserve">BA-05</t>
  </si>
  <si>
    <t xml:space="preserve">Launch announcement support</t>
  </si>
  <si>
    <t xml:space="preserve">Draft announcement post/email/WhatsApp status for client</t>
  </si>
  <si>
    <t xml:space="preserve">Drives initial traffic</t>
  </si>
  <si>
    <t xml:space="preserve">Draft copy</t>
  </si>
  <si>
    <t xml:space="preserve">Scope creep into marketing</t>
  </si>
  <si>
    <t xml:space="preserve">Doing unpaid social media</t>
  </si>
  <si>
    <t xml:space="preserve">BB-01</t>
  </si>
  <si>
    <t xml:space="preserve">BB</t>
  </si>
  <si>
    <t xml:space="preserve">Post-launch Testing</t>
  </si>
  <si>
    <t xml:space="preserve">Production smoke test</t>
  </si>
  <si>
    <t xml:space="preserve">Test key pages, navigation, mobile view, HTTPS on live domain</t>
  </si>
  <si>
    <t xml:space="preserve">Confirm live site works</t>
  </si>
  <si>
    <t xml:space="preserve">Smoke test record</t>
  </si>
  <si>
    <t xml:space="preserve">Checklist + screenshots</t>
  </si>
  <si>
    <t xml:space="preserve">Env-specific failures</t>
  </si>
  <si>
    <t xml:space="preserve">Testing only staging</t>
  </si>
  <si>
    <t xml:space="preserve">Broken live site</t>
  </si>
  <si>
    <t xml:space="preserve">BB-02</t>
  </si>
  <si>
    <t xml:space="preserve">Live forms, emails and payments test</t>
  </si>
  <si>
    <t xml:space="preserve">Real submissions and (if applicable) small live payment + refund on production</t>
  </si>
  <si>
    <t xml:space="preserve">Integrations often differ in production</t>
  </si>
  <si>
    <t xml:space="preserve">Received emails, txn IDs</t>
  </si>
  <si>
    <t xml:space="preserve">Silent failure</t>
  </si>
  <si>
    <t xml:space="preserve">Assuming staging result applies</t>
  </si>
  <si>
    <t xml:space="preserve">Lost leads/orders</t>
  </si>
  <si>
    <t xml:space="preserve">BB-03</t>
  </si>
  <si>
    <t xml:space="preserve">Indexing check</t>
  </si>
  <si>
    <t xml:space="preserve">Submit sitemap, inspect homepage URL in Search Console, confirm no noindex</t>
  </si>
  <si>
    <t xml:space="preserve">Get discovered</t>
  </si>
  <si>
    <t xml:space="preserve">Check record</t>
  </si>
  <si>
    <t xml:space="preserve">Leftover noindex</t>
  </si>
  <si>
    <t xml:space="preserve">Invisible site</t>
  </si>
  <si>
    <t xml:space="preserve">BB-04</t>
  </si>
  <si>
    <t xml:space="preserve">Post-launch monitoring review</t>
  </si>
  <si>
    <t xml:space="preserve">Review errors, uptime, analytics, form deliveries, Search Console coverage over first 7–14 days</t>
  </si>
  <si>
    <t xml:space="preserve">Early issue detection</t>
  </si>
  <si>
    <t xml:space="preserve">DevOps/QA</t>
  </si>
  <si>
    <t xml:space="preserve">Note + screenshots</t>
  </si>
  <si>
    <t xml:space="preserve">Unnoticed issues</t>
  </si>
  <si>
    <t xml:space="preserve">No review</t>
  </si>
  <si>
    <t xml:space="preserve">BC-01</t>
  </si>
  <si>
    <t xml:space="preserve">BC</t>
  </si>
  <si>
    <t xml:space="preserve">Handover</t>
  </si>
  <si>
    <t xml:space="preserve">Prepare handover package</t>
  </si>
  <si>
    <t xml:space="preserve">Assemble docs, account register, licence register, design files, source code access, backups, maintenance options</t>
  </si>
  <si>
    <t xml:space="preserve">Complete, organised transfer</t>
  </si>
  <si>
    <t xml:space="preserve">BD-01..BD-04</t>
  </si>
  <si>
    <t xml:space="preserve">Handover package</t>
  </si>
  <si>
    <t xml:space="preserve">Package folder</t>
  </si>
  <si>
    <t xml:space="preserve">Missing items</t>
  </si>
  <si>
    <t xml:space="preserve">Handing over only a URL</t>
  </si>
  <si>
    <t xml:space="preserve">Client dependent on you</t>
  </si>
  <si>
    <t xml:space="preserve">BC-02</t>
  </si>
  <si>
    <t xml:space="preserve">Handover meeting</t>
  </si>
  <si>
    <t xml:space="preserve">Walk through site, accounts, how to get help, what warranty covers, renewals</t>
  </si>
  <si>
    <t xml:space="preserve">Shared understanding</t>
  </si>
  <si>
    <t xml:space="preserve">1–1.5 h</t>
  </si>
  <si>
    <t xml:space="preserve">Misunderstanding responsibilities</t>
  </si>
  <si>
    <t xml:space="preserve">Support confusion</t>
  </si>
  <si>
    <t xml:space="preserve">BC-03</t>
  </si>
  <si>
    <t xml:space="preserve">Handover acknowledgement</t>
  </si>
  <si>
    <t xml:space="preserve">Client signs acknowledgement listing items received and access confirmed</t>
  </si>
  <si>
    <t xml:space="preserve">Evidence of completed delivery</t>
  </si>
  <si>
    <t xml:space="preserve">Signed acknowledgement</t>
  </si>
  <si>
    <t xml:space="preserve">Signed form</t>
  </si>
  <si>
    <t xml:space="preserve">Later claims of non-delivery</t>
  </si>
  <si>
    <t xml:space="preserve">No signed record</t>
  </si>
  <si>
    <t xml:space="preserve">BD-01</t>
  </si>
  <si>
    <t xml:space="preserve">BD</t>
  </si>
  <si>
    <t xml:space="preserve">Documentation</t>
  </si>
  <si>
    <t xml:space="preserve">Technical README</t>
  </si>
  <si>
    <t xml:space="preserve">Setup, build, deploy steps, env var names (not values), architecture, dependencies, known issues</t>
  </si>
  <si>
    <t xml:space="preserve">Maintainability by anyone</t>
  </si>
  <si>
    <t xml:space="preserve">README</t>
  </si>
  <si>
    <t xml:space="preserve">Repo file</t>
  </si>
  <si>
    <t xml:space="preserve">Secrets in docs</t>
  </si>
  <si>
    <t xml:space="preserve">Writing it at the last minute</t>
  </si>
  <si>
    <t xml:space="preserve">Lock-in</t>
  </si>
  <si>
    <t xml:space="preserve">BD-02</t>
  </si>
  <si>
    <t xml:space="preserve">Client user guide</t>
  </si>
  <si>
    <t xml:space="preserve">How to edit content, add images, manage forms/leads, common tasks with screenshots</t>
  </si>
  <si>
    <t xml:space="preserve">Client independence</t>
  </si>
  <si>
    <t xml:space="preserve">User guide</t>
  </si>
  <si>
    <t xml:space="preserve">Outdated guide</t>
  </si>
  <si>
    <t xml:space="preserve">Too technical</t>
  </si>
  <si>
    <t xml:space="preserve">Constant support calls</t>
  </si>
  <si>
    <t xml:space="preserve">BD-03</t>
  </si>
  <si>
    <t xml:space="preserve">Account and asset register</t>
  </si>
  <si>
    <t xml:space="preserve">Every account/service: owner, URL, purpose, who has access, renewal date, cost, where credentials are stored (not the credentials)</t>
  </si>
  <si>
    <t xml:space="preserve">Master ownership record</t>
  </si>
  <si>
    <t xml:space="preserve">Register file</t>
  </si>
  <si>
    <t xml:space="preserve">Missing services</t>
  </si>
  <si>
    <t xml:space="preserve">Including passwords in the register</t>
  </si>
  <si>
    <t xml:space="preserve">Lost control</t>
  </si>
  <si>
    <t xml:space="preserve">BD-04</t>
  </si>
  <si>
    <t xml:space="preserve">Third-party licence register</t>
  </si>
  <si>
    <t xml:space="preserve">List fonts, images, icons, themes, plugins, libraries with licence type, licensee, proof, renewal</t>
  </si>
  <si>
    <t xml:space="preserve">Licence compliance and transfer</t>
  </si>
  <si>
    <t xml:space="preserve">O-04, AD-05, V-03</t>
  </si>
  <si>
    <t xml:space="preserve">Licence register</t>
  </si>
  <si>
    <t xml:space="preserve">Licence in developer's name</t>
  </si>
  <si>
    <t xml:space="preserve">Not recording licensee</t>
  </si>
  <si>
    <t xml:space="preserve">Infringement</t>
  </si>
  <si>
    <t xml:space="preserve">BE-01</t>
  </si>
  <si>
    <t xml:space="preserve">Training</t>
  </si>
  <si>
    <t xml:space="preserve">CMS/admin training session</t>
  </si>
  <si>
    <t xml:space="preserve">Live training on content edits and admin tasks; record with consent</t>
  </si>
  <si>
    <t xml:space="preserve">Client self-sufficiency</t>
  </si>
  <si>
    <t xml:space="preserve">Recording + notes</t>
  </si>
  <si>
    <t xml:space="preserve">Recording link</t>
  </si>
  <si>
    <t xml:space="preserve">Forgotten training</t>
  </si>
  <si>
    <t xml:space="preserve">No recording</t>
  </si>
  <si>
    <t xml:space="preserve">Support load</t>
  </si>
  <si>
    <t xml:space="preserve">BE-02</t>
  </si>
  <si>
    <t xml:space="preserve">Training follow-up</t>
  </si>
  <si>
    <t xml:space="preserve">Answer follow-up questions within agreed window</t>
  </si>
  <si>
    <t xml:space="preserve">Adoption</t>
  </si>
  <si>
    <t xml:space="preserve">Q&amp;A log</t>
  </si>
  <si>
    <t xml:space="preserve">Messages</t>
  </si>
  <si>
    <t xml:space="preserve">Endless free training</t>
  </si>
  <si>
    <t xml:space="preserve">No window defined</t>
  </si>
  <si>
    <t xml:space="preserve">Unpaid support</t>
  </si>
  <si>
    <t xml:space="preserve">BF-01</t>
  </si>
  <si>
    <t xml:space="preserve">BF</t>
  </si>
  <si>
    <t xml:space="preserve">Final Payment</t>
  </si>
  <si>
    <t xml:space="preserve">Final invoice</t>
  </si>
  <si>
    <t xml:space="preserve">Invoice remaining balance plus approved change orders, less advance</t>
  </si>
  <si>
    <t xml:space="preserve">Close finances</t>
  </si>
  <si>
    <t xml:space="preserve">Invoice file</t>
  </si>
  <si>
    <t xml:space="preserve">Missed change orders</t>
  </si>
  <si>
    <t xml:space="preserve">Forgetting CRs</t>
  </si>
  <si>
    <t xml:space="preserve">BF-02</t>
  </si>
  <si>
    <t xml:space="preserve">Final payment confirmation</t>
  </si>
  <si>
    <t xml:space="preserve">Confirm bank credit, issue receipt, update ledger</t>
  </si>
  <si>
    <t xml:space="preserve">Trigger for ownership transfer</t>
  </si>
  <si>
    <t xml:space="preserve">Bank ref + receipt</t>
  </si>
  <si>
    <t xml:space="preserve">Transferring before payment</t>
  </si>
  <si>
    <t xml:space="preserve">Accepting screenshots</t>
  </si>
  <si>
    <t xml:space="preserve">Unpaid project</t>
  </si>
  <si>
    <t xml:space="preserve">BF-03</t>
  </si>
  <si>
    <t xml:space="preserve">Collect TDS certificate</t>
  </si>
  <si>
    <t xml:space="preserve">Request TDS certificate for amounts deducted; reconcile with AIS/26AS</t>
  </si>
  <si>
    <t xml:space="preserve">Claim tax credit</t>
  </si>
  <si>
    <t xml:space="preserve">Certificate</t>
  </si>
  <si>
    <t xml:space="preserve">Lost credit</t>
  </si>
  <si>
    <t xml:space="preserve">Not following up</t>
  </si>
  <si>
    <t xml:space="preserve">Tax loss</t>
  </si>
  <si>
    <t xml:space="preserve">BG-01</t>
  </si>
  <si>
    <t xml:space="preserve">BG</t>
  </si>
  <si>
    <t xml:space="preserve">Ownership Transfer</t>
  </si>
  <si>
    <t xml:space="preserve">Domain control confirmation</t>
  </si>
  <si>
    <t xml:space="preserve">Confirm client is registrant and sole account holder; developer removed from registrar; if transfer needed, initiate with auth code (TAC/EPP) securely</t>
  </si>
  <si>
    <t xml:space="preserve">Domain = control of website</t>
  </si>
  <si>
    <t xml:space="preserve">Ownership</t>
  </si>
  <si>
    <t xml:space="preserve">PM + Client</t>
  </si>
  <si>
    <t xml:space="preserve">Confirmation</t>
  </si>
  <si>
    <t xml:space="preserve">WHOIS/RDAP + registrar screenshots</t>
  </si>
  <si>
    <t xml:space="preserve">Transfer locks delay</t>
  </si>
  <si>
    <t xml:space="preserve">Sending auth code over chat</t>
  </si>
  <si>
    <t xml:space="preserve">Client can't control site</t>
  </si>
  <si>
    <t xml:space="preserve">BG-02</t>
  </si>
  <si>
    <t xml:space="preserve">Hosting/cloud ownership transfer</t>
  </si>
  <si>
    <t xml:space="preserve">Transfer project/team ownership or confirm client-owned account; downgrade/remove developer access</t>
  </si>
  <si>
    <t xml:space="preserve">Control of runtime and billing</t>
  </si>
  <si>
    <t xml:space="preserve">DevOps + Client</t>
  </si>
  <si>
    <t xml:space="preserve">Transferred account</t>
  </si>
  <si>
    <t xml:space="preserve">Owner screenshot</t>
  </si>
  <si>
    <t xml:space="preserve">Billing still on developer card</t>
  </si>
  <si>
    <t xml:space="preserve">Forgetting billing transfer</t>
  </si>
  <si>
    <t xml:space="preserve">BG-03</t>
  </si>
  <si>
    <t xml:space="preserve">Repository transfer</t>
  </si>
  <si>
    <t xml:space="preserve">Transfer repo to client org/account or deliver full archive; confirm client admin; remove developer collaborator if not maintaining</t>
  </si>
  <si>
    <t xml:space="preserve">Client owns source code</t>
  </si>
  <si>
    <t xml:space="preserve">BF-02, BD-01</t>
  </si>
  <si>
    <t xml:space="preserve">Transferred repo</t>
  </si>
  <si>
    <t xml:space="preserve">Repo settings screenshot</t>
  </si>
  <si>
    <t xml:space="preserve">Developer auto-retained as collaborator</t>
  </si>
  <si>
    <t xml:space="preserve">Assuming transfer removes access</t>
  </si>
  <si>
    <t xml:space="preserve">Unintended developer access</t>
  </si>
  <si>
    <t xml:space="preserve">BG-04</t>
  </si>
  <si>
    <t xml:space="preserve">Analytics and Search Console ownership</t>
  </si>
  <si>
    <t xml:space="preserve">Confirm client is GA Administrator and verified Search Console owner; remove developer tokens/access or downgrade</t>
  </si>
  <si>
    <t xml:space="preserve">Data control</t>
  </si>
  <si>
    <t xml:space="preserve">Ownership confirmation</t>
  </si>
  <si>
    <t xml:space="preserve">Access screenshots</t>
  </si>
  <si>
    <t xml:space="preserve">Developer tokens left re-verify access</t>
  </si>
  <si>
    <t xml:space="preserve">Removing user but not verification token</t>
  </si>
  <si>
    <t xml:space="preserve">Lingering access</t>
  </si>
  <si>
    <t xml:space="preserve">BG-05</t>
  </si>
  <si>
    <t xml:space="preserve">Third-party accounts transfer</t>
  </si>
  <si>
    <t xml:space="preserve">For each service in register: confirm client owner, billing, API key ownership; transfer anything created by developer</t>
  </si>
  <si>
    <t xml:space="preserve">Complete independence</t>
  </si>
  <si>
    <t xml:space="preserve">Updated register</t>
  </si>
  <si>
    <t xml:space="preserve">Register with 'transferred' status</t>
  </si>
  <si>
    <t xml:space="preserve">Forgotten service</t>
  </si>
  <si>
    <t xml:space="preserve">Ignoring 'small' services (SMTP, maps)</t>
  </si>
  <si>
    <t xml:space="preserve">Outages later</t>
  </si>
  <si>
    <t xml:space="preserve">BG-06</t>
  </si>
  <si>
    <t xml:space="preserve">Credential rotation</t>
  </si>
  <si>
    <t xml:space="preserve">Rotate all passwords/keys the developer knew: admin, DB, SMTP, API keys, webhooks secrets; update env vars; test</t>
  </si>
  <si>
    <t xml:space="preserve">Removes residual developer knowledge</t>
  </si>
  <si>
    <t xml:space="preserve">BG-01..BG-05</t>
  </si>
  <si>
    <t xml:space="preserve">Rotation checklist</t>
  </si>
  <si>
    <t xml:space="preserve">Checklist with dates (no secrets)</t>
  </si>
  <si>
    <t xml:space="preserve">Breaking integrations</t>
  </si>
  <si>
    <t xml:space="preserve">Rotating without updating env vars</t>
  </si>
  <si>
    <t xml:space="preserve">BG-07</t>
  </si>
  <si>
    <t xml:space="preserve">Developer access removal or downgrade</t>
  </si>
  <si>
    <t xml:space="preserve">Remove or reduce developer access per maintenance agreement; document what remains and why</t>
  </si>
  <si>
    <t xml:space="preserve">Least privilege</t>
  </si>
  <si>
    <t xml:space="preserve">Access record</t>
  </si>
  <si>
    <t xml:space="preserve">Access list screenshots</t>
  </si>
  <si>
    <t xml:space="preserve">Unintended access</t>
  </si>
  <si>
    <t xml:space="preserve">Forgetting CMS/hosting users</t>
  </si>
  <si>
    <t xml:space="preserve">Liability</t>
  </si>
  <si>
    <t xml:space="preserve">BG-08</t>
  </si>
  <si>
    <t xml:space="preserve">Execute copyright assignment/licence</t>
  </si>
  <si>
    <t xml:space="preserve">Sign assignment for commissioned deliverables (specifying work, rights, duration, territory, consideration) and licence for pre-existing/reusable components</t>
  </si>
  <si>
    <t xml:space="preserve">Indian law requires written signed assignment</t>
  </si>
  <si>
    <t xml:space="preserve">Signed assignment</t>
  </si>
  <si>
    <t xml:space="preserve">Signed document</t>
  </si>
  <si>
    <t xml:space="preserve">Defaults (5 years/India only) apply if silent</t>
  </si>
  <si>
    <t xml:space="preserve">Relying on invoice or chat</t>
  </si>
  <si>
    <t xml:space="preserve">BG-09</t>
  </si>
  <si>
    <t xml:space="preserve">Ownership transfer confirmation</t>
  </si>
  <si>
    <t xml:space="preserve">Client signs checklist confirming each item transferred and tested</t>
  </si>
  <si>
    <t xml:space="preserve">Closes ownership questions</t>
  </si>
  <si>
    <t xml:space="preserve">BG-01..BG-08</t>
  </si>
  <si>
    <t xml:space="preserve">Signed confirmation</t>
  </si>
  <si>
    <t xml:space="preserve">Later disputes</t>
  </si>
  <si>
    <t xml:space="preserve">No evidence</t>
  </si>
  <si>
    <t xml:space="preserve">BH-01</t>
  </si>
  <si>
    <t xml:space="preserve">BH</t>
  </si>
  <si>
    <t xml:space="preserve">Maintenance</t>
  </si>
  <si>
    <t xml:space="preserve">Maintenance agreement proposal</t>
  </si>
  <si>
    <t xml:space="preserve">Offer AMC tiers: updates, backups, monitoring, content edit hours, response times, exclusions, price; separate contract</t>
  </si>
  <si>
    <t xml:space="preserve">Maintenance is recurring revenue and clarifies post-launch duties</t>
  </si>
  <si>
    <t xml:space="preserve">AMC proposal/agreement</t>
  </si>
  <si>
    <t xml:space="preserve">Signed AMC or declined note</t>
  </si>
  <si>
    <t xml:space="preserve">Implied free lifetime support</t>
  </si>
  <si>
    <t xml:space="preserve">No written AMC</t>
  </si>
  <si>
    <t xml:space="preserve">Unpaid support forever</t>
  </si>
  <si>
    <t xml:space="preserve">BH-02</t>
  </si>
  <si>
    <t xml:space="preserve">Monthly updates</t>
  </si>
  <si>
    <t xml:space="preserve">Update dependencies/CMS/plugins on staging, test, deploy</t>
  </si>
  <si>
    <t xml:space="preserve">Unpatched sites get hacked</t>
  </si>
  <si>
    <t xml:space="preserve">Update log</t>
  </si>
  <si>
    <t xml:space="preserve">Changelog + commits</t>
  </si>
  <si>
    <t xml:space="preserve">1–3 h/month</t>
  </si>
  <si>
    <t xml:space="preserve">Update breaks site</t>
  </si>
  <si>
    <t xml:space="preserve">Updating directly in production</t>
  </si>
  <si>
    <t xml:space="preserve">Outage or compromise</t>
  </si>
  <si>
    <t xml:space="preserve">BH-03</t>
  </si>
  <si>
    <t xml:space="preserve">Backup verification</t>
  </si>
  <si>
    <t xml:space="preserve">Confirm backups ran; quarterly test restore</t>
  </si>
  <si>
    <t xml:space="preserve">Backups fail silently</t>
  </si>
  <si>
    <t xml:space="preserve">Backup log</t>
  </si>
  <si>
    <t xml:space="preserve">0.5 h/month</t>
  </si>
  <si>
    <t xml:space="preserve">Unrecoverable data</t>
  </si>
  <si>
    <t xml:space="preserve">Never testing restores</t>
  </si>
  <si>
    <t xml:space="preserve">BH-04</t>
  </si>
  <si>
    <t xml:space="preserve">Monitoring review</t>
  </si>
  <si>
    <t xml:space="preserve">Review uptime, errors, security alerts, form delivery</t>
  </si>
  <si>
    <t xml:space="preserve">Early detection</t>
  </si>
  <si>
    <t xml:space="preserve">Monthly note</t>
  </si>
  <si>
    <t xml:space="preserve">0.5–1 h/month</t>
  </si>
  <si>
    <t xml:space="preserve">Unnoticed failures</t>
  </si>
  <si>
    <t xml:space="preserve">Alerts to nobody</t>
  </si>
  <si>
    <t xml:space="preserve">BH-05</t>
  </si>
  <si>
    <t xml:space="preserve">Renewal reminders</t>
  </si>
  <si>
    <t xml:space="preserve">Remind client 30/14/7 days before domain, hosting, licence renewals</t>
  </si>
  <si>
    <t xml:space="preserve">Prevents expiry</t>
  </si>
  <si>
    <t xml:space="preserve">Reminder log</t>
  </si>
  <si>
    <t xml:space="preserve">10 min/month</t>
  </si>
  <si>
    <t xml:space="preserve">Relying on registrar emails to old addresses</t>
  </si>
  <si>
    <t xml:space="preserve">BH-06</t>
  </si>
  <si>
    <t xml:space="preserve">Monthly maintenance report</t>
  </si>
  <si>
    <t xml:space="preserve">Summary: updates, uptime, backups, issues, hours used, recommendations</t>
  </si>
  <si>
    <t xml:space="preserve">Demonstrates value; supports renewal</t>
  </si>
  <si>
    <t xml:space="preserve">BH-02..BH-04</t>
  </si>
  <si>
    <t xml:space="preserve">Sent report</t>
  </si>
  <si>
    <t xml:space="preserve">Client doubts value</t>
  </si>
  <si>
    <t xml:space="preserve">No reporting</t>
  </si>
  <si>
    <t xml:space="preserve">AMC cancellation</t>
  </si>
  <si>
    <t xml:space="preserve">BI-01</t>
  </si>
  <si>
    <t xml:space="preserve">BI</t>
  </si>
  <si>
    <t xml:space="preserve">Support</t>
  </si>
  <si>
    <t xml:space="preserve">Warranty/defect period support</t>
  </si>
  <si>
    <t xml:space="preserve">Fix defects reported within warranty window (e.g., 30 days) that are genuine bugs in delivered work</t>
  </si>
  <si>
    <t xml:space="preserve">Professional standard; contractual</t>
  </si>
  <si>
    <t xml:space="preserve">Fix log</t>
  </si>
  <si>
    <t xml:space="preserve">Tickets + commits</t>
  </si>
  <si>
    <t xml:space="preserve">Warranty used for new features</t>
  </si>
  <si>
    <t xml:space="preserve">Undefined warranty scope</t>
  </si>
  <si>
    <t xml:space="preserve">BI-02</t>
  </si>
  <si>
    <t xml:space="preserve">Support ticket handling</t>
  </si>
  <si>
    <t xml:space="preserve">Log requests, classify (defect/AMC/billable), respond within agreed times</t>
  </si>
  <si>
    <t xml:space="preserve">Organised support</t>
  </si>
  <si>
    <t xml:space="preserve">Ticket log</t>
  </si>
  <si>
    <t xml:space="preserve">Tickets</t>
  </si>
  <si>
    <t xml:space="preserve">Chaotic WhatsApp support</t>
  </si>
  <si>
    <t xml:space="preserve">No classification</t>
  </si>
  <si>
    <t xml:space="preserve">BI-03</t>
  </si>
  <si>
    <t xml:space="preserve">Small content edits</t>
  </si>
  <si>
    <t xml:space="preserve">Content edits within AMC hours; beyond that billed</t>
  </si>
  <si>
    <t xml:space="preserve">Common request</t>
  </si>
  <si>
    <t xml:space="preserve">Edit log</t>
  </si>
  <si>
    <t xml:space="preserve">0.25–1 h each</t>
  </si>
  <si>
    <t xml:space="preserve">Hours creep</t>
  </si>
  <si>
    <t xml:space="preserve">Not logging time</t>
  </si>
  <si>
    <t xml:space="preserve">BJ-01</t>
  </si>
  <si>
    <t xml:space="preserve">BJ</t>
  </si>
  <si>
    <t xml:space="preserve">Project Closure</t>
  </si>
  <si>
    <t xml:space="preserve">Project retrospective</t>
  </si>
  <si>
    <t xml:space="preserve">Partners review estimate vs actual, what went well/badly, update templates and default points</t>
  </si>
  <si>
    <t xml:space="preserve">Continuous improvement</t>
  </si>
  <si>
    <t xml:space="preserve">Either (both)</t>
  </si>
  <si>
    <t xml:space="preserve">Retro notes</t>
  </si>
  <si>
    <t xml:space="preserve">1 h</t>
  </si>
  <si>
    <t xml:space="preserve">Repeating mistakes</t>
  </si>
  <si>
    <t xml:space="preserve">Skipping when busy</t>
  </si>
  <si>
    <t xml:space="preserve">Same losses repeat</t>
  </si>
  <si>
    <t xml:space="preserve">BJ-02</t>
  </si>
  <si>
    <t xml:space="preserve">Final contribution calculation and sign-off</t>
  </si>
  <si>
    <t xml:space="preserve">Freeze tasks/points, resolve open disputes, both partners approve contribution percentages</t>
  </si>
  <si>
    <t xml:space="preserve">Fair split; prevents post-project manipulation</t>
  </si>
  <si>
    <t xml:space="preserve">Contribution statement</t>
  </si>
  <si>
    <t xml:space="preserve">App lock + both approvals</t>
  </si>
  <si>
    <t xml:space="preserve">Editing points after payment</t>
  </si>
  <si>
    <t xml:space="preserve">Partnership conflict</t>
  </si>
  <si>
    <t xml:space="preserve">BJ-03</t>
  </si>
  <si>
    <t xml:space="preserve">Profit distribution record</t>
  </si>
  <si>
    <t xml:space="preserve">Calculate net profit (revenue − expenses − reserves − taxes set aside), distribute per statement, record payments</t>
  </si>
  <si>
    <t xml:space="preserve">Transparent money flow</t>
  </si>
  <si>
    <t xml:space="preserve">BJ-02, BF-02</t>
  </si>
  <si>
    <t xml:space="preserve">Distribution record</t>
  </si>
  <si>
    <t xml:space="preserve">Bank refs</t>
  </si>
  <si>
    <t xml:space="preserve">Tax mistakes</t>
  </si>
  <si>
    <t xml:space="preserve">Distributing gross receipts</t>
  </si>
  <si>
    <t xml:space="preserve">Cash shortfall</t>
  </si>
  <si>
    <t xml:space="preserve">BJ-04</t>
  </si>
  <si>
    <t xml:space="preserve">Archive project records</t>
  </si>
  <si>
    <t xml:space="preserve">Archive contract, approvals, invoices, CRs, handover docs, evidence per retention policy</t>
  </si>
  <si>
    <t xml:space="preserve">Legal/tax retention and dispute defence</t>
  </si>
  <si>
    <t xml:space="preserve">Archive</t>
  </si>
  <si>
    <t xml:space="preserve">Archive location record</t>
  </si>
  <si>
    <t xml:space="preserve">Evidence lost</t>
  </si>
  <si>
    <t xml:space="preserve">Keeping only in chats</t>
  </si>
  <si>
    <t xml:space="preserve">No defence in disputes</t>
  </si>
  <si>
    <t xml:space="preserve">BJ-05</t>
  </si>
  <si>
    <t xml:space="preserve">Testimonial and portfolio permission</t>
  </si>
  <si>
    <t xml:space="preserve">Request testimonial/review and written permission to show the work</t>
  </si>
  <si>
    <t xml:space="preserve">Marketing; portfolio rights clarity</t>
  </si>
  <si>
    <t xml:space="preserve">Testimonial + permission</t>
  </si>
  <si>
    <t xml:space="preserve">Email/message</t>
  </si>
  <si>
    <t xml:space="preserve">Using work without permission</t>
  </si>
  <si>
    <t xml:space="preserve">Assuming right to showcase</t>
  </si>
  <si>
    <t xml:space="preserve">Client objection</t>
  </si>
  <si>
    <t xml:space="preserve">BJ-06</t>
  </si>
  <si>
    <t xml:space="preserve">Close project and revoke internal access</t>
  </si>
  <si>
    <t xml:space="preserve">Close tasks, archive board, remove temporary accounts/vault items no longer needed</t>
  </si>
  <si>
    <t xml:space="preserve">Security and tidiness</t>
  </si>
  <si>
    <t xml:space="preserve">Closed project</t>
  </si>
  <si>
    <t xml:space="preserve">App status</t>
  </si>
  <si>
    <t xml:space="preserve">Stale credentials</t>
  </si>
  <si>
    <t xml:space="preserve">Leaving vault items forever</t>
  </si>
  <si>
    <t xml:space="preserve">BK-01</t>
  </si>
  <si>
    <t xml:space="preserve">BK</t>
  </si>
  <si>
    <t xml:space="preserve">Legal &amp; Compliance Pages (added)</t>
  </si>
  <si>
    <t xml:space="preserve">Privacy notice (client-owned)</t>
  </si>
  <si>
    <t xml:space="preserve">Obtain privacy notice from client (ideally lawyer-reviewed) covering what forms/analytics collect, purposes, contact; publish and link</t>
  </si>
  <si>
    <t xml:space="preserve">Personal data is collected via forms/analytics; DPDP notice obligations fully apply from May 2027</t>
  </si>
  <si>
    <t xml:space="preserve">Published notice</t>
  </si>
  <si>
    <t xml:space="preserve">Page URL + client approval</t>
  </si>
  <si>
    <t xml:space="preserve">0.5–1 h (dev)</t>
  </si>
  <si>
    <t xml:space="preserve">Developer-authored legal text treated as advice</t>
  </si>
  <si>
    <t xml:space="preserve">Copying another company's policy</t>
  </si>
  <si>
    <t xml:space="preserve">BK-02</t>
  </si>
  <si>
    <t xml:space="preserve">Terms of use (client-owned)</t>
  </si>
  <si>
    <t xml:space="preserve">Publish client-provided website terms</t>
  </si>
  <si>
    <t xml:space="preserve">Sets rules for site use</t>
  </si>
  <si>
    <t xml:space="preserve">Published terms</t>
  </si>
  <si>
    <t xml:space="preserve">Page URL</t>
  </si>
  <si>
    <t xml:space="preserve">0.5 h (dev)</t>
  </si>
  <si>
    <t xml:space="preserve">Inaccurate terms</t>
  </si>
  <si>
    <t xml:space="preserve">Generic templates</t>
  </si>
  <si>
    <t xml:space="preserve">Weak protection</t>
  </si>
  <si>
    <t xml:space="preserve">BK-03</t>
  </si>
  <si>
    <t xml:space="preserve">Cookie/tracker notice</t>
  </si>
  <si>
    <t xml:space="preserve">Explain cookies/trackers used; link from consent banner</t>
  </si>
  <si>
    <t xml:space="preserve">Notice section</t>
  </si>
  <si>
    <t xml:space="preserve">Undisclosed trackers</t>
  </si>
  <si>
    <t xml:space="preserve">Listing trackers not used or omitting used ones</t>
  </si>
  <si>
    <t xml:space="preserve">Complaints</t>
  </si>
  <si>
    <t xml:space="preserve">Refund, cancellation and shipping policies</t>
  </si>
  <si>
    <t xml:space="preserve">Publish client-provided policies for e-commerce/paid bookings; link at checkout</t>
  </si>
  <si>
    <t xml:space="preserve">E-commerce rules require clear return/refund/delivery info; gateways also require them</t>
  </si>
  <si>
    <t xml:space="preserve">AF-01 or AG-01</t>
  </si>
  <si>
    <t xml:space="preserve">Policy pages</t>
  </si>
  <si>
    <t xml:space="preserve">URLs</t>
  </si>
  <si>
    <t xml:space="preserve">Gateway activation blocked</t>
  </si>
  <si>
    <t xml:space="preserve">Missing policies</t>
  </si>
  <si>
    <t xml:space="preserve">BK-05</t>
  </si>
  <si>
    <t xml:space="preserve">Contact and grievance details</t>
  </si>
  <si>
    <t xml:space="preserve">Display business legal name, address, contact channels; grievance officer where required</t>
  </si>
  <si>
    <t xml:space="preserve">Trust; required for e-commerce entities</t>
  </si>
  <si>
    <t xml:space="preserve">Contact details</t>
  </si>
  <si>
    <t xml:space="preserve">Wrong details</t>
  </si>
  <si>
    <t xml:space="preserve">Personal numbers of staff</t>
  </si>
  <si>
    <t xml:space="preserve">BL-01</t>
  </si>
  <si>
    <t xml:space="preserve">BL</t>
  </si>
  <si>
    <t xml:space="preserve">Backup &amp; Recovery (added)</t>
  </si>
  <si>
    <t xml:space="preserve">Backup policy and schedule</t>
  </si>
  <si>
    <t xml:space="preserve">Define what (files, DB, CMS uploads), how often, retention, where (separate account/region), who restores</t>
  </si>
  <si>
    <t xml:space="preserve">Recovery planning</t>
  </si>
  <si>
    <t xml:space="preserve">Backup policy</t>
  </si>
  <si>
    <t xml:space="preserve">Backups on same server</t>
  </si>
  <si>
    <t xml:space="preserve">Only host snapshots</t>
  </si>
  <si>
    <t xml:space="preserve">BL-02</t>
  </si>
  <si>
    <t xml:space="preserve">Off-site/second copy</t>
  </si>
  <si>
    <t xml:space="preserve">Keep a copy outside the primary host, owned by client</t>
  </si>
  <si>
    <t xml:space="preserve">Host failure/account lockout</t>
  </si>
  <si>
    <t xml:space="preserve">Off-site backup</t>
  </si>
  <si>
    <t xml:space="preserve">Log</t>
  </si>
  <si>
    <t xml:space="preserve">Copy in developer's personal drive</t>
  </si>
  <si>
    <t xml:space="preserve">Storing client data personally</t>
  </si>
  <si>
    <t xml:space="preserve">Privacy/ownership issues</t>
  </si>
  <si>
    <t xml:space="preserve">BL-03</t>
  </si>
  <si>
    <t xml:space="preserve">Restore drill</t>
  </si>
  <si>
    <t xml:space="preserve">Restore to a test environment and verify site works</t>
  </si>
  <si>
    <t xml:space="preserve">Proves recoverability</t>
  </si>
  <si>
    <t xml:space="preserve">Drill report</t>
  </si>
  <si>
    <t xml:space="preserve">Untestable backups</t>
  </si>
  <si>
    <t xml:space="preserve">Never tested</t>
  </si>
  <si>
    <t xml:space="preserve">Unrecoverable</t>
  </si>
  <si>
    <t xml:space="preserve">BM-01</t>
  </si>
  <si>
    <t xml:space="preserve">BM</t>
  </si>
  <si>
    <t xml:space="preserve">Localisation (added)</t>
  </si>
  <si>
    <t xml:space="preserve">Language strategy</t>
  </si>
  <si>
    <t xml:space="preserve">Decide languages, URL structure (subfolders), language switcher, hreflang, who translates</t>
  </si>
  <si>
    <t xml:space="preserve">Multilingual SEO and UX</t>
  </si>
  <si>
    <t xml:space="preserve">Strategy</t>
  </si>
  <si>
    <t xml:space="preserve">Auto-translate widgets</t>
  </si>
  <si>
    <t xml:space="preserve">Mixed-language pages</t>
  </si>
  <si>
    <t xml:space="preserve">Poor UX/SEO</t>
  </si>
  <si>
    <t xml:space="preserve">BM-02</t>
  </si>
  <si>
    <t xml:space="preserve">Implement internationalisation</t>
  </si>
  <si>
    <t xml:space="preserve">Translation files/CMS fields, hreflang, lang attributes, Indic font support</t>
  </si>
  <si>
    <t xml:space="preserve">Correct rendering of Indian scripts</t>
  </si>
  <si>
    <t xml:space="preserve">i18n implementation</t>
  </si>
  <si>
    <t xml:space="preserve">Broken Indic rendering</t>
  </si>
  <si>
    <t xml:space="preserve">Missing lang attribute</t>
  </si>
  <si>
    <t xml:space="preserve">Accessibility/SEO issues</t>
  </si>
  <si>
    <t xml:space="preserve">BM-03</t>
  </si>
  <si>
    <t xml:space="preserve">Translation QA</t>
  </si>
  <si>
    <t xml:space="preserve">Native speaker reviews rendered pages</t>
  </si>
  <si>
    <t xml:space="preserve">QA notes</t>
  </si>
  <si>
    <t xml:space="preserve">Reviewing text only, not rendered</t>
  </si>
  <si>
    <t xml:space="preserve">Poor brand image</t>
  </si>
  <si>
    <t xml:space="preserve">BN-01</t>
  </si>
  <si>
    <t xml:space="preserve">BN</t>
  </si>
  <si>
    <t xml:space="preserve">Internal Finance &amp; Tax Admin (added)</t>
  </si>
  <si>
    <t xml:space="preserve">Project P&amp;L sheet</t>
  </si>
  <si>
    <t xml:space="preserve">Track revenue, GST collected (if registered), TDS, expenses, reserves, net profit</t>
  </si>
  <si>
    <t xml:space="preserve">Basis for profit split and taxes</t>
  </si>
  <si>
    <t xml:space="preserve">P&amp;L</t>
  </si>
  <si>
    <t xml:space="preserve">Distributing tax money</t>
  </si>
  <si>
    <t xml:space="preserve">Mixing personal and business accounts</t>
  </si>
  <si>
    <t xml:space="preserve">Tax trouble, disputes</t>
  </si>
  <si>
    <t xml:space="preserve">BN-02</t>
  </si>
  <si>
    <t xml:space="preserve">Tax records and CA handoff</t>
  </si>
  <si>
    <t xml:space="preserve">Provide invoices, expenses, TDS data to CA for GST returns/income tax as applicable</t>
  </si>
  <si>
    <t xml:space="preserve">Compliance</t>
  </si>
  <si>
    <t xml:space="preserve">I-01..I-06</t>
  </si>
  <si>
    <t xml:space="preserve">CA pack</t>
  </si>
  <si>
    <t xml:space="preserve">Late filing penalties</t>
  </si>
  <si>
    <t xml:space="preserve">Penalties</t>
  </si>
  <si>
    <t xml:space="preserve">BN-03</t>
  </si>
  <si>
    <t xml:space="preserve">Partner expense reimbursement</t>
  </si>
  <si>
    <t xml:space="preserve">Reimburse partner-paid business expenses against bills before profit split</t>
  </si>
  <si>
    <t xml:space="preserve">Fairness</t>
  </si>
  <si>
    <t xml:space="preserve">Reimbursement record</t>
  </si>
  <si>
    <t xml:space="preserve">Double counting</t>
  </si>
  <si>
    <t xml:space="preserve">Counting expense as both reimbursement and contribution</t>
  </si>
  <si>
    <t xml:space="preserve">BO-01</t>
  </si>
  <si>
    <t xml:space="preserve">BO</t>
  </si>
  <si>
    <t xml:space="preserve">Partner Governance (added)</t>
  </si>
  <si>
    <t xml:space="preserve">Contribution dispute review</t>
  </si>
  <si>
    <t xml:space="preserve">Structured review of disputed task claims using evidence; decide per dispute rules</t>
  </si>
  <si>
    <t xml:space="preserve">Keeps partnership healthy</t>
  </si>
  <si>
    <t xml:space="preserve">Dispute decision</t>
  </si>
  <si>
    <t xml:space="preserve">Dispute record</t>
  </si>
  <si>
    <t xml:space="preserve">Resentment</t>
  </si>
  <si>
    <t xml:space="preserve">Debating without evidence</t>
  </si>
  <si>
    <t xml:space="preserve">Partnership breakdown</t>
  </si>
  <si>
    <t xml:space="preserve">BO-02</t>
  </si>
  <si>
    <t xml:space="preserve">Points calibration review</t>
  </si>
  <si>
    <t xml:space="preserve">Quarterly compare points vs actual effort across projects; adjust defaults going forward only</t>
  </si>
  <si>
    <t xml:space="preserve">Keeps defaults realistic</t>
  </si>
  <si>
    <t xml:space="preserve">Business-level, quarterly</t>
  </si>
  <si>
    <t xml:space="preserve">Updated defaults</t>
  </si>
  <si>
    <t xml:space="preserve">Changelog of defaults</t>
  </si>
  <si>
    <t xml:space="preserve">Retroactive changes</t>
  </si>
  <si>
    <t xml:space="preserve">Changing past projects</t>
  </si>
  <si>
    <t xml:space="preserve">Distrust</t>
  </si>
  <si>
    <t xml:space="preserve">Default Points</t>
  </si>
  <si>
    <t xml:space="preserve">Estimated Effort</t>
  </si>
  <si>
    <t xml:space="preserve">Evidence</t>
  </si>
  <si>
    <t xml:space="preserve">Client Approval</t>
  </si>
  <si>
    <t xml:space="preserve">Mandatory/Optional/Conditional</t>
  </si>
  <si>
    <t xml:space="preserve">Typical Owner</t>
  </si>
  <si>
    <t xml:space="preserve">Dependencies</t>
  </si>
  <si>
    <t xml:space="preserve">Billable?</t>
  </si>
  <si>
    <t xml:space="preserve">Post-launch?</t>
  </si>
  <si>
    <t xml:space="preserve">—</t>
  </si>
  <si>
    <t xml:space="preserve">E-01, E-02, E-03, E-04, E-05, E-06</t>
  </si>
  <si>
    <t xml:space="preserve">F-01, F-02, F-03, F-04, F-05</t>
  </si>
  <si>
    <t xml:space="preserve">H-01, F-01, F-02, F-03, F-04, F-05</t>
  </si>
  <si>
    <t xml:space="preserve">H-02, H-03, H-04</t>
  </si>
  <si>
    <t xml:space="preserve">P-01, P-02, P-03, P-04, O-02</t>
  </si>
  <si>
    <t xml:space="preserve">T-01, T-02, T-03</t>
  </si>
  <si>
    <t xml:space="preserve">S-02, S-03</t>
  </si>
  <si>
    <t xml:space="preserve">U-04, V-05, V-06, V-07, V-08, V-09, V-10</t>
  </si>
  <si>
    <t xml:space="preserve">V-11, V-12, V-13, V-14, V-15, V-16, V-17, V-18</t>
  </si>
  <si>
    <t xml:space="preserve">Y-02, AD-03</t>
  </si>
  <si>
    <t xml:space="preserve">AA-02, AA-03, AA-04, AA-05</t>
  </si>
  <si>
    <t xml:space="preserve">AB-02, AB-03, AB-04, AB-05</t>
  </si>
  <si>
    <t xml:space="preserve">AK-02, AK-03, AK-04, AK-05, AK-06</t>
  </si>
  <si>
    <t xml:space="preserve">AL-02, AL-03, AL-04, AL-05</t>
  </si>
  <si>
    <t xml:space="preserve">Y-06, AD-03</t>
  </si>
  <si>
    <t xml:space="preserve">AM-01, AM-02, AM-03, AM-04, AM-05, AM-06, AM-07, AM-08</t>
  </si>
  <si>
    <t xml:space="preserve">AP-02, AR-02</t>
  </si>
  <si>
    <t xml:space="preserve">BD-01, BD-02, BD-03, BD-04</t>
  </si>
  <si>
    <t xml:space="preserve">BG-01, BG-02, BG-03, BG-04, BG-05</t>
  </si>
  <si>
    <t xml:space="preserve">BG-01, BG-02, BG-03, BG-04, BG-05, BG-06, BG-07, BG-08</t>
  </si>
  <si>
    <t xml:space="preserve">BH-02, BH-03, BH-04</t>
  </si>
  <si>
    <t xml:space="preserve">AF-01, AG-01</t>
  </si>
  <si>
    <t xml:space="preserve">I-01, I-02, I-03, I-04, I-05, I-06</t>
  </si>
  <si>
    <t xml:space="preserve">Code</t>
  </si>
  <si>
    <t xml:space="preserve">Tasks</t>
  </si>
  <si>
    <t xml:space="preserve">MUST HAVE tasks</t>
  </si>
  <si>
    <t xml:space="preserve">Default points (all)</t>
  </si>
  <si>
    <t xml:space="preserve">Points (MUST HAVE only)</t>
  </si>
  <si>
    <t xml:space="preserve">Share of all points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</si>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</sst>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ibutionLibrary" displayName="ContributionLibrary" ref="A1:N344" headerRowCount="1" totalsRowCount="0" totalsRowShown="0">
  <autoFilter ref="A1:N344"/>
  <tableColumns count="14">
    <tableColumn id="1" name="ID"/>
    <tableColumn id="2" name="Category"/>
    <tableColumn id="3" name="Task"/>
    <tableColumn id="4" name="Description"/>
    <tableColumn id="5" name="Default Points"/>
    <tableColumn id="6" name="Complexity"/>
    <tableColumn id="7" name="Estimated Effort"/>
    <tableColumn id="8" name="Evidence"/>
    <tableColumn id="9" name="Client Approval"/>
    <tableColumn id="10" name="Mandatory/Optional/Conditional"/>
    <tableColumn id="11" name="Typical Owner"/>
    <tableColumn id="12" name="Dependencies"/>
    <tableColumn id="13" name="Billable?"/>
    <tableColumn id="14" name="Post-launch?"/>
  </tableColumns>
</table>
</file>

<file path=xl/tables/table2.xml><?xml version="1.0" encoding="utf-8"?>
<table xmlns="http://schemas.openxmlformats.org/spreadsheetml/2006/main" id="2" name="TaskLibrary" displayName="TaskLibrary" ref="A1:V344" headerRowCount="1" totalsRowCount="0" totalsRowShown="0">
  <autoFilter ref="A1:V344"/>
  <tableColumns count="22">
    <tableColumn id="1" name="ID"/>
    <tableColumn id="2" name="Category code"/>
    <tableColumn id="3" name="Category"/>
    <tableColumn id="4" name="Task"/>
    <tableColumn id="5" name="Description"/>
    <tableColumn id="6" name="Why necessary"/>
    <tableColumn id="7" name="When"/>
    <tableColumn id="8" name="Prerequisites / dependencies"/>
    <tableColumn id="9" name="Typical owner"/>
    <tableColumn id="10" name="Deliverable / output"/>
    <tableColumn id="11" name="Evidence of completion"/>
    <tableColumn id="12" name="Client approval?"/>
    <tableColumn id="13" name="Classification"/>
    <tableColumn id="14" name="Complexity"/>
    <tableColumn id="15" name="Typical effort"/>
    <tableColumn id="16" name="Default points"/>
    <tableColumn id="17" name="Possible risks"/>
    <tableColumn id="18" name="Common mistakes"/>
    <tableColumn id="19" name="If skipped"/>
    <tableColumn id="20" name="In standard project?"/>
    <tableColumn id="21" name="Separate billable item?"/>
    <tableColumn id="22" name="Post-launch maintenance?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52.2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/>
      <c r="B3" s="2"/>
    </row>
    <row r="4" customFormat="false" ht="23.85" hidden="false" customHeight="false" outlineLevel="0" collapsed="false">
      <c r="A4" s="3" t="s">
        <v>3</v>
      </c>
      <c r="B4" s="2" t="s">
        <v>4</v>
      </c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23.8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3" t="s">
        <v>13</v>
      </c>
      <c r="B9" s="2" t="s">
        <v>14</v>
      </c>
    </row>
    <row r="10" customFormat="false" ht="23.85" hidden="false" customHeight="false" outlineLevel="0" collapsed="false">
      <c r="A10" s="3" t="s">
        <v>15</v>
      </c>
      <c r="B10" s="2" t="s">
        <v>16</v>
      </c>
    </row>
    <row r="11" customFormat="false" ht="15" hidden="false" customHeight="false" outlineLevel="0" collapsed="false">
      <c r="A11" s="3" t="s">
        <v>17</v>
      </c>
      <c r="B11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48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22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9" min="17" style="0" width="26"/>
    <col collapsed="false" customWidth="true" hidden="false" outlineLevel="0" max="20" min="20" style="0" width="10"/>
    <col collapsed="false" customWidth="true" hidden="false" outlineLevel="0" max="21" min="21" style="0" width="18"/>
    <col collapsed="false" customWidth="true" hidden="false" outlineLevel="0" max="22" min="22" style="0" width="10"/>
  </cols>
  <sheetData>
    <row r="1" customFormat="false" ht="31.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9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</row>
    <row r="2" customFormat="false" ht="32.8" hidden="false" customHeight="false" outlineLevel="0" collapsed="false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53</v>
      </c>
      <c r="O2" s="5" t="s">
        <v>54</v>
      </c>
      <c r="P2" s="5" t="n">
        <v>2</v>
      </c>
      <c r="Q2" s="5" t="s">
        <v>55</v>
      </c>
      <c r="R2" s="5" t="s">
        <v>56</v>
      </c>
      <c r="S2" s="5" t="s">
        <v>57</v>
      </c>
      <c r="T2" s="5" t="s">
        <v>51</v>
      </c>
      <c r="U2" s="5" t="s">
        <v>58</v>
      </c>
      <c r="V2" s="5" t="s">
        <v>51</v>
      </c>
    </row>
    <row r="3" customFormat="false" ht="32.8" hidden="false" customHeight="false" outlineLevel="0" collapsed="false">
      <c r="A3" s="5" t="s">
        <v>59</v>
      </c>
      <c r="B3" s="5" t="s">
        <v>41</v>
      </c>
      <c r="C3" s="5" t="s">
        <v>42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40</v>
      </c>
      <c r="I3" s="5" t="s">
        <v>48</v>
      </c>
      <c r="J3" s="5" t="s">
        <v>64</v>
      </c>
      <c r="K3" s="5" t="s">
        <v>65</v>
      </c>
      <c r="L3" s="5" t="s">
        <v>51</v>
      </c>
      <c r="M3" s="5" t="s">
        <v>66</v>
      </c>
      <c r="N3" s="5" t="s">
        <v>53</v>
      </c>
      <c r="O3" s="5" t="s">
        <v>67</v>
      </c>
      <c r="P3" s="5" t="n">
        <v>1</v>
      </c>
      <c r="Q3" s="5" t="s">
        <v>68</v>
      </c>
      <c r="R3" s="5" t="s">
        <v>69</v>
      </c>
      <c r="S3" s="5" t="s">
        <v>70</v>
      </c>
      <c r="T3" s="5" t="s">
        <v>51</v>
      </c>
      <c r="U3" s="5" t="s">
        <v>58</v>
      </c>
      <c r="V3" s="5" t="s">
        <v>51</v>
      </c>
    </row>
    <row r="4" customFormat="false" ht="22.35" hidden="false" customHeight="false" outlineLevel="0" collapsed="false">
      <c r="A4" s="5" t="s">
        <v>71</v>
      </c>
      <c r="B4" s="5" t="s">
        <v>41</v>
      </c>
      <c r="C4" s="5" t="s">
        <v>42</v>
      </c>
      <c r="D4" s="5" t="s">
        <v>72</v>
      </c>
      <c r="E4" s="5" t="s">
        <v>73</v>
      </c>
      <c r="F4" s="5" t="s">
        <v>74</v>
      </c>
      <c r="G4" s="5" t="s">
        <v>63</v>
      </c>
      <c r="H4" s="5" t="s">
        <v>75</v>
      </c>
      <c r="I4" s="5" t="s">
        <v>76</v>
      </c>
      <c r="J4" s="5" t="s">
        <v>77</v>
      </c>
      <c r="K4" s="5" t="s">
        <v>78</v>
      </c>
      <c r="L4" s="5" t="s">
        <v>51</v>
      </c>
      <c r="M4" s="5" t="s">
        <v>79</v>
      </c>
      <c r="N4" s="5" t="s">
        <v>53</v>
      </c>
      <c r="O4" s="5" t="s">
        <v>80</v>
      </c>
      <c r="P4" s="5" t="n">
        <v>1</v>
      </c>
      <c r="Q4" s="5" t="s">
        <v>81</v>
      </c>
      <c r="R4" s="5" t="s">
        <v>82</v>
      </c>
      <c r="S4" s="5" t="s">
        <v>83</v>
      </c>
      <c r="T4" s="5" t="s">
        <v>84</v>
      </c>
      <c r="U4" s="5" t="s">
        <v>58</v>
      </c>
      <c r="V4" s="5" t="s">
        <v>51</v>
      </c>
    </row>
    <row r="5" customFormat="false" ht="22.35" hidden="false" customHeight="false" outlineLevel="0" collapsed="false">
      <c r="A5" s="5" t="s">
        <v>85</v>
      </c>
      <c r="B5" s="5" t="s">
        <v>41</v>
      </c>
      <c r="C5" s="5" t="s">
        <v>42</v>
      </c>
      <c r="D5" s="5" t="s">
        <v>86</v>
      </c>
      <c r="E5" s="5" t="s">
        <v>87</v>
      </c>
      <c r="F5" s="5" t="s">
        <v>88</v>
      </c>
      <c r="G5" s="5" t="s">
        <v>46</v>
      </c>
      <c r="H5" s="5" t="s">
        <v>89</v>
      </c>
      <c r="I5" s="5" t="s">
        <v>48</v>
      </c>
      <c r="J5" s="5" t="s">
        <v>90</v>
      </c>
      <c r="K5" s="5" t="s">
        <v>91</v>
      </c>
      <c r="L5" s="5" t="s">
        <v>51</v>
      </c>
      <c r="M5" s="5" t="s">
        <v>52</v>
      </c>
      <c r="N5" s="5" t="s">
        <v>53</v>
      </c>
      <c r="O5" s="5" t="s">
        <v>92</v>
      </c>
      <c r="P5" s="5" t="n">
        <v>2</v>
      </c>
      <c r="Q5" s="5" t="s">
        <v>93</v>
      </c>
      <c r="R5" s="5" t="s">
        <v>94</v>
      </c>
      <c r="S5" s="5" t="s">
        <v>95</v>
      </c>
      <c r="T5" s="5" t="s">
        <v>51</v>
      </c>
      <c r="U5" s="5" t="s">
        <v>58</v>
      </c>
      <c r="V5" s="5" t="s">
        <v>51</v>
      </c>
    </row>
    <row r="6" customFormat="false" ht="32.8" hidden="false" customHeight="false" outlineLevel="0" collapsed="false">
      <c r="A6" s="5" t="s">
        <v>96</v>
      </c>
      <c r="B6" s="5" t="s">
        <v>97</v>
      </c>
      <c r="C6" s="5" t="s">
        <v>98</v>
      </c>
      <c r="D6" s="5" t="s">
        <v>99</v>
      </c>
      <c r="E6" s="5" t="s">
        <v>100</v>
      </c>
      <c r="F6" s="5" t="s">
        <v>101</v>
      </c>
      <c r="G6" s="5" t="s">
        <v>63</v>
      </c>
      <c r="H6" s="5" t="s">
        <v>102</v>
      </c>
      <c r="I6" s="5" t="s">
        <v>48</v>
      </c>
      <c r="J6" s="5" t="s">
        <v>103</v>
      </c>
      <c r="K6" s="5" t="s">
        <v>104</v>
      </c>
      <c r="L6" s="5" t="s">
        <v>51</v>
      </c>
      <c r="M6" s="5" t="s">
        <v>52</v>
      </c>
      <c r="N6" s="5" t="s">
        <v>53</v>
      </c>
      <c r="O6" s="5" t="s">
        <v>105</v>
      </c>
      <c r="P6" s="5" t="n">
        <v>1</v>
      </c>
      <c r="Q6" s="5" t="s">
        <v>106</v>
      </c>
      <c r="R6" s="5" t="s">
        <v>107</v>
      </c>
      <c r="S6" s="5" t="s">
        <v>108</v>
      </c>
      <c r="T6" s="5" t="s">
        <v>51</v>
      </c>
      <c r="U6" s="5" t="s">
        <v>58</v>
      </c>
      <c r="V6" s="5" t="s">
        <v>51</v>
      </c>
    </row>
    <row r="7" customFormat="false" ht="22.35" hidden="false" customHeight="false" outlineLevel="0" collapsed="false">
      <c r="A7" s="5" t="s">
        <v>109</v>
      </c>
      <c r="B7" s="5" t="s">
        <v>97</v>
      </c>
      <c r="C7" s="5" t="s">
        <v>98</v>
      </c>
      <c r="D7" s="5" t="s">
        <v>110</v>
      </c>
      <c r="E7" s="5" t="s">
        <v>111</v>
      </c>
      <c r="F7" s="5" t="s">
        <v>112</v>
      </c>
      <c r="G7" s="5" t="s">
        <v>63</v>
      </c>
      <c r="H7" s="5" t="s">
        <v>96</v>
      </c>
      <c r="I7" s="5" t="s">
        <v>48</v>
      </c>
      <c r="J7" s="5" t="s">
        <v>113</v>
      </c>
      <c r="K7" s="5" t="s">
        <v>114</v>
      </c>
      <c r="L7" s="5" t="s">
        <v>51</v>
      </c>
      <c r="M7" s="5" t="s">
        <v>79</v>
      </c>
      <c r="N7" s="5" t="s">
        <v>53</v>
      </c>
      <c r="O7" s="5" t="s">
        <v>115</v>
      </c>
      <c r="P7" s="5" t="n">
        <v>1</v>
      </c>
      <c r="Q7" s="5" t="s">
        <v>116</v>
      </c>
      <c r="R7" s="5" t="s">
        <v>117</v>
      </c>
      <c r="S7" s="5" t="s">
        <v>118</v>
      </c>
      <c r="T7" s="5" t="s">
        <v>84</v>
      </c>
      <c r="U7" s="5" t="s">
        <v>58</v>
      </c>
      <c r="V7" s="5" t="s">
        <v>51</v>
      </c>
    </row>
    <row r="8" customFormat="false" ht="22.35" hidden="false" customHeight="false" outlineLevel="0" collapsed="false">
      <c r="A8" s="5" t="s">
        <v>119</v>
      </c>
      <c r="B8" s="5" t="s">
        <v>97</v>
      </c>
      <c r="C8" s="5" t="s">
        <v>98</v>
      </c>
      <c r="D8" s="5" t="s">
        <v>120</v>
      </c>
      <c r="E8" s="5" t="s">
        <v>121</v>
      </c>
      <c r="F8" s="5" t="s">
        <v>122</v>
      </c>
      <c r="G8" s="5" t="s">
        <v>63</v>
      </c>
      <c r="H8" s="5" t="s">
        <v>109</v>
      </c>
      <c r="I8" s="5" t="s">
        <v>48</v>
      </c>
      <c r="J8" s="5" t="s">
        <v>123</v>
      </c>
      <c r="K8" s="5" t="s">
        <v>124</v>
      </c>
      <c r="L8" s="5" t="s">
        <v>51</v>
      </c>
      <c r="M8" s="5" t="s">
        <v>52</v>
      </c>
      <c r="N8" s="5" t="s">
        <v>53</v>
      </c>
      <c r="O8" s="5" t="s">
        <v>125</v>
      </c>
      <c r="P8" s="5" t="n">
        <v>1</v>
      </c>
      <c r="Q8" s="5" t="s">
        <v>126</v>
      </c>
      <c r="R8" s="5" t="s">
        <v>127</v>
      </c>
      <c r="S8" s="5" t="s">
        <v>128</v>
      </c>
      <c r="T8" s="5" t="s">
        <v>51</v>
      </c>
      <c r="U8" s="5" t="s">
        <v>58</v>
      </c>
      <c r="V8" s="5" t="s">
        <v>51</v>
      </c>
    </row>
    <row r="9" customFormat="false" ht="22.35" hidden="false" customHeight="false" outlineLevel="0" collapsed="false">
      <c r="A9" s="5" t="s">
        <v>129</v>
      </c>
      <c r="B9" s="5" t="s">
        <v>97</v>
      </c>
      <c r="C9" s="5" t="s">
        <v>98</v>
      </c>
      <c r="D9" s="5" t="s">
        <v>130</v>
      </c>
      <c r="E9" s="5" t="s">
        <v>131</v>
      </c>
      <c r="F9" s="5" t="s">
        <v>132</v>
      </c>
      <c r="G9" s="5" t="s">
        <v>63</v>
      </c>
      <c r="H9" s="5" t="s">
        <v>109</v>
      </c>
      <c r="I9" s="5" t="s">
        <v>48</v>
      </c>
      <c r="J9" s="5" t="s">
        <v>133</v>
      </c>
      <c r="K9" s="5" t="s">
        <v>134</v>
      </c>
      <c r="L9" s="5" t="s">
        <v>51</v>
      </c>
      <c r="M9" s="5" t="s">
        <v>52</v>
      </c>
      <c r="N9" s="5" t="s">
        <v>53</v>
      </c>
      <c r="O9" s="5" t="s">
        <v>105</v>
      </c>
      <c r="P9" s="5" t="n">
        <v>1</v>
      </c>
      <c r="Q9" s="5" t="s">
        <v>135</v>
      </c>
      <c r="R9" s="5" t="s">
        <v>136</v>
      </c>
      <c r="S9" s="5" t="s">
        <v>137</v>
      </c>
      <c r="T9" s="5" t="s">
        <v>51</v>
      </c>
      <c r="U9" s="5" t="s">
        <v>58</v>
      </c>
      <c r="V9" s="5" t="s">
        <v>51</v>
      </c>
    </row>
    <row r="10" customFormat="false" ht="22.35" hidden="false" customHeight="false" outlineLevel="0" collapsed="false">
      <c r="A10" s="5" t="s">
        <v>138</v>
      </c>
      <c r="B10" s="5" t="s">
        <v>139</v>
      </c>
      <c r="C10" s="5" t="s">
        <v>48</v>
      </c>
      <c r="D10" s="5" t="s">
        <v>140</v>
      </c>
      <c r="E10" s="5" t="s">
        <v>141</v>
      </c>
      <c r="F10" s="5" t="s">
        <v>142</v>
      </c>
      <c r="G10" s="5" t="s">
        <v>63</v>
      </c>
      <c r="H10" s="5" t="s">
        <v>109</v>
      </c>
      <c r="I10" s="5" t="s">
        <v>48</v>
      </c>
      <c r="J10" s="5" t="s">
        <v>143</v>
      </c>
      <c r="K10" s="5" t="s">
        <v>144</v>
      </c>
      <c r="L10" s="5" t="s">
        <v>51</v>
      </c>
      <c r="M10" s="5" t="s">
        <v>79</v>
      </c>
      <c r="N10" s="5" t="s">
        <v>53</v>
      </c>
      <c r="O10" s="5" t="s">
        <v>67</v>
      </c>
      <c r="P10" s="5" t="n">
        <v>1</v>
      </c>
      <c r="Q10" s="5" t="s">
        <v>145</v>
      </c>
      <c r="R10" s="5" t="s">
        <v>146</v>
      </c>
      <c r="S10" s="5" t="s">
        <v>147</v>
      </c>
      <c r="T10" s="5" t="s">
        <v>84</v>
      </c>
      <c r="U10" s="5" t="s">
        <v>58</v>
      </c>
      <c r="V10" s="5" t="s">
        <v>51</v>
      </c>
    </row>
    <row r="11" customFormat="false" ht="22.35" hidden="false" customHeight="false" outlineLevel="0" collapsed="false">
      <c r="A11" s="5" t="s">
        <v>148</v>
      </c>
      <c r="B11" s="5" t="s">
        <v>139</v>
      </c>
      <c r="C11" s="5" t="s">
        <v>48</v>
      </c>
      <c r="D11" s="5" t="s">
        <v>149</v>
      </c>
      <c r="E11" s="5" t="s">
        <v>150</v>
      </c>
      <c r="F11" s="5" t="s">
        <v>151</v>
      </c>
      <c r="G11" s="5" t="s">
        <v>63</v>
      </c>
      <c r="H11" s="5" t="s">
        <v>138</v>
      </c>
      <c r="I11" s="5" t="s">
        <v>76</v>
      </c>
      <c r="J11" s="5" t="s">
        <v>152</v>
      </c>
      <c r="K11" s="5" t="s">
        <v>153</v>
      </c>
      <c r="L11" s="5" t="s">
        <v>51</v>
      </c>
      <c r="M11" s="5" t="s">
        <v>52</v>
      </c>
      <c r="N11" s="5" t="s">
        <v>53</v>
      </c>
      <c r="O11" s="5" t="s">
        <v>154</v>
      </c>
      <c r="P11" s="5" t="n">
        <v>1</v>
      </c>
      <c r="Q11" s="5" t="s">
        <v>155</v>
      </c>
      <c r="R11" s="5" t="s">
        <v>156</v>
      </c>
      <c r="S11" s="5" t="s">
        <v>157</v>
      </c>
      <c r="T11" s="5" t="s">
        <v>84</v>
      </c>
      <c r="U11" s="5" t="s">
        <v>58</v>
      </c>
      <c r="V11" s="5" t="s">
        <v>51</v>
      </c>
    </row>
    <row r="12" customFormat="false" ht="22.35" hidden="false" customHeight="false" outlineLevel="0" collapsed="false">
      <c r="A12" s="5" t="s">
        <v>158</v>
      </c>
      <c r="B12" s="5" t="s">
        <v>139</v>
      </c>
      <c r="C12" s="5" t="s">
        <v>48</v>
      </c>
      <c r="D12" s="5" t="s">
        <v>159</v>
      </c>
      <c r="E12" s="5" t="s">
        <v>160</v>
      </c>
      <c r="F12" s="5" t="s">
        <v>161</v>
      </c>
      <c r="G12" s="5" t="s">
        <v>63</v>
      </c>
      <c r="H12" s="5" t="s">
        <v>148</v>
      </c>
      <c r="I12" s="5" t="s">
        <v>48</v>
      </c>
      <c r="J12" s="5" t="s">
        <v>162</v>
      </c>
      <c r="K12" s="5" t="s">
        <v>163</v>
      </c>
      <c r="L12" s="5" t="s">
        <v>51</v>
      </c>
      <c r="M12" s="5" t="s">
        <v>52</v>
      </c>
      <c r="N12" s="5" t="s">
        <v>164</v>
      </c>
      <c r="O12" s="5" t="s">
        <v>165</v>
      </c>
      <c r="P12" s="5" t="n">
        <v>2</v>
      </c>
      <c r="Q12" s="5" t="s">
        <v>166</v>
      </c>
      <c r="R12" s="5" t="s">
        <v>167</v>
      </c>
      <c r="S12" s="5" t="s">
        <v>168</v>
      </c>
      <c r="T12" s="5" t="s">
        <v>84</v>
      </c>
      <c r="U12" s="5" t="s">
        <v>58</v>
      </c>
      <c r="V12" s="5" t="s">
        <v>51</v>
      </c>
    </row>
    <row r="13" customFormat="false" ht="22.35" hidden="false" customHeight="false" outlineLevel="0" collapsed="false">
      <c r="A13" s="5" t="s">
        <v>169</v>
      </c>
      <c r="B13" s="5" t="s">
        <v>139</v>
      </c>
      <c r="C13" s="5" t="s">
        <v>48</v>
      </c>
      <c r="D13" s="5" t="s">
        <v>170</v>
      </c>
      <c r="E13" s="5" t="s">
        <v>171</v>
      </c>
      <c r="F13" s="5" t="s">
        <v>172</v>
      </c>
      <c r="G13" s="5" t="s">
        <v>63</v>
      </c>
      <c r="H13" s="5" t="s">
        <v>173</v>
      </c>
      <c r="I13" s="5" t="s">
        <v>48</v>
      </c>
      <c r="J13" s="5" t="s">
        <v>174</v>
      </c>
      <c r="K13" s="5" t="s">
        <v>175</v>
      </c>
      <c r="L13" s="5" t="s">
        <v>84</v>
      </c>
      <c r="M13" s="5" t="s">
        <v>52</v>
      </c>
      <c r="N13" s="5" t="s">
        <v>164</v>
      </c>
      <c r="O13" s="5" t="s">
        <v>176</v>
      </c>
      <c r="P13" s="5" t="n">
        <v>2</v>
      </c>
      <c r="Q13" s="5" t="s">
        <v>177</v>
      </c>
      <c r="R13" s="5" t="s">
        <v>178</v>
      </c>
      <c r="S13" s="5" t="s">
        <v>179</v>
      </c>
      <c r="T13" s="5" t="s">
        <v>180</v>
      </c>
      <c r="U13" s="5" t="s">
        <v>58</v>
      </c>
      <c r="V13" s="5" t="s">
        <v>51</v>
      </c>
    </row>
    <row r="14" customFormat="false" ht="22.35" hidden="false" customHeight="false" outlineLevel="0" collapsed="false">
      <c r="A14" s="5" t="s">
        <v>181</v>
      </c>
      <c r="B14" s="5" t="s">
        <v>139</v>
      </c>
      <c r="C14" s="5" t="s">
        <v>48</v>
      </c>
      <c r="D14" s="5" t="s">
        <v>182</v>
      </c>
      <c r="E14" s="5" t="s">
        <v>183</v>
      </c>
      <c r="F14" s="5" t="s">
        <v>184</v>
      </c>
      <c r="G14" s="5" t="s">
        <v>63</v>
      </c>
      <c r="H14" s="5" t="s">
        <v>138</v>
      </c>
      <c r="I14" s="5" t="s">
        <v>76</v>
      </c>
      <c r="J14" s="5" t="s">
        <v>185</v>
      </c>
      <c r="K14" s="5" t="s">
        <v>186</v>
      </c>
      <c r="L14" s="5" t="s">
        <v>51</v>
      </c>
      <c r="M14" s="5" t="s">
        <v>52</v>
      </c>
      <c r="N14" s="5" t="s">
        <v>53</v>
      </c>
      <c r="O14" s="5" t="s">
        <v>105</v>
      </c>
      <c r="P14" s="5" t="n">
        <v>1</v>
      </c>
      <c r="Q14" s="5" t="s">
        <v>187</v>
      </c>
      <c r="R14" s="5" t="s">
        <v>188</v>
      </c>
      <c r="S14" s="5" t="s">
        <v>189</v>
      </c>
      <c r="T14" s="5" t="s">
        <v>84</v>
      </c>
      <c r="U14" s="5" t="s">
        <v>58</v>
      </c>
      <c r="V14" s="5" t="s">
        <v>51</v>
      </c>
    </row>
    <row r="15" customFormat="false" ht="22.35" hidden="false" customHeight="false" outlineLevel="0" collapsed="false">
      <c r="A15" s="5" t="s">
        <v>190</v>
      </c>
      <c r="B15" s="5" t="s">
        <v>191</v>
      </c>
      <c r="C15" s="5" t="s">
        <v>192</v>
      </c>
      <c r="D15" s="5" t="s">
        <v>193</v>
      </c>
      <c r="E15" s="5" t="s">
        <v>194</v>
      </c>
      <c r="F15" s="5" t="s">
        <v>195</v>
      </c>
      <c r="G15" s="5" t="s">
        <v>192</v>
      </c>
      <c r="H15" s="5" t="s">
        <v>148</v>
      </c>
      <c r="I15" s="5" t="s">
        <v>196</v>
      </c>
      <c r="J15" s="5" t="s">
        <v>197</v>
      </c>
      <c r="K15" s="5" t="s">
        <v>198</v>
      </c>
      <c r="L15" s="5" t="s">
        <v>51</v>
      </c>
      <c r="M15" s="5" t="s">
        <v>79</v>
      </c>
      <c r="N15" s="5" t="s">
        <v>53</v>
      </c>
      <c r="O15" s="5" t="s">
        <v>199</v>
      </c>
      <c r="P15" s="5" t="n">
        <v>1</v>
      </c>
      <c r="Q15" s="5" t="s">
        <v>200</v>
      </c>
      <c r="R15" s="5" t="s">
        <v>201</v>
      </c>
      <c r="S15" s="5" t="s">
        <v>202</v>
      </c>
      <c r="T15" s="5" t="s">
        <v>84</v>
      </c>
      <c r="U15" s="5" t="s">
        <v>58</v>
      </c>
      <c r="V15" s="5" t="s">
        <v>51</v>
      </c>
    </row>
    <row r="16" customFormat="false" ht="22.35" hidden="false" customHeight="false" outlineLevel="0" collapsed="false">
      <c r="A16" s="5" t="s">
        <v>203</v>
      </c>
      <c r="B16" s="5" t="s">
        <v>191</v>
      </c>
      <c r="C16" s="5" t="s">
        <v>192</v>
      </c>
      <c r="D16" s="5" t="s">
        <v>204</v>
      </c>
      <c r="E16" s="5" t="s">
        <v>205</v>
      </c>
      <c r="F16" s="5" t="s">
        <v>206</v>
      </c>
      <c r="G16" s="5" t="s">
        <v>192</v>
      </c>
      <c r="H16" s="5" t="s">
        <v>190</v>
      </c>
      <c r="I16" s="5" t="s">
        <v>196</v>
      </c>
      <c r="J16" s="5" t="s">
        <v>207</v>
      </c>
      <c r="K16" s="5" t="s">
        <v>208</v>
      </c>
      <c r="L16" s="5" t="s">
        <v>51</v>
      </c>
      <c r="M16" s="5" t="s">
        <v>79</v>
      </c>
      <c r="N16" s="5" t="s">
        <v>164</v>
      </c>
      <c r="O16" s="5" t="s">
        <v>209</v>
      </c>
      <c r="P16" s="5" t="n">
        <v>3</v>
      </c>
      <c r="Q16" s="5" t="s">
        <v>210</v>
      </c>
      <c r="R16" s="5" t="s">
        <v>211</v>
      </c>
      <c r="S16" s="5" t="s">
        <v>212</v>
      </c>
      <c r="T16" s="5" t="s">
        <v>84</v>
      </c>
      <c r="U16" s="5" t="s">
        <v>58</v>
      </c>
      <c r="V16" s="5" t="s">
        <v>51</v>
      </c>
    </row>
    <row r="17" customFormat="false" ht="22.35" hidden="false" customHeight="false" outlineLevel="0" collapsed="false">
      <c r="A17" s="5" t="s">
        <v>213</v>
      </c>
      <c r="B17" s="5" t="s">
        <v>191</v>
      </c>
      <c r="C17" s="5" t="s">
        <v>192</v>
      </c>
      <c r="D17" s="5" t="s">
        <v>214</v>
      </c>
      <c r="E17" s="5" t="s">
        <v>215</v>
      </c>
      <c r="F17" s="5" t="s">
        <v>216</v>
      </c>
      <c r="G17" s="5" t="s">
        <v>192</v>
      </c>
      <c r="H17" s="5" t="s">
        <v>203</v>
      </c>
      <c r="I17" s="5" t="s">
        <v>196</v>
      </c>
      <c r="J17" s="5" t="s">
        <v>217</v>
      </c>
      <c r="K17" s="5" t="s">
        <v>218</v>
      </c>
      <c r="L17" s="5" t="s">
        <v>84</v>
      </c>
      <c r="M17" s="5" t="s">
        <v>79</v>
      </c>
      <c r="N17" s="5" t="s">
        <v>53</v>
      </c>
      <c r="O17" s="5" t="s">
        <v>67</v>
      </c>
      <c r="P17" s="5" t="n">
        <v>1</v>
      </c>
      <c r="Q17" s="5" t="s">
        <v>219</v>
      </c>
      <c r="R17" s="5" t="s">
        <v>220</v>
      </c>
      <c r="S17" s="5" t="s">
        <v>221</v>
      </c>
      <c r="T17" s="5" t="s">
        <v>84</v>
      </c>
      <c r="U17" s="5" t="s">
        <v>58</v>
      </c>
      <c r="V17" s="5" t="s">
        <v>51</v>
      </c>
    </row>
    <row r="18" customFormat="false" ht="22.35" hidden="false" customHeight="false" outlineLevel="0" collapsed="false">
      <c r="A18" s="5" t="s">
        <v>222</v>
      </c>
      <c r="B18" s="5" t="s">
        <v>191</v>
      </c>
      <c r="C18" s="5" t="s">
        <v>192</v>
      </c>
      <c r="D18" s="5" t="s">
        <v>223</v>
      </c>
      <c r="E18" s="5" t="s">
        <v>224</v>
      </c>
      <c r="F18" s="5" t="s">
        <v>225</v>
      </c>
      <c r="G18" s="5" t="s">
        <v>192</v>
      </c>
      <c r="H18" s="5" t="s">
        <v>203</v>
      </c>
      <c r="I18" s="5" t="s">
        <v>196</v>
      </c>
      <c r="J18" s="5" t="s">
        <v>226</v>
      </c>
      <c r="K18" s="5" t="s">
        <v>227</v>
      </c>
      <c r="L18" s="5" t="s">
        <v>84</v>
      </c>
      <c r="M18" s="5" t="s">
        <v>79</v>
      </c>
      <c r="N18" s="5" t="s">
        <v>53</v>
      </c>
      <c r="O18" s="5" t="s">
        <v>228</v>
      </c>
      <c r="P18" s="5" t="n">
        <v>1</v>
      </c>
      <c r="Q18" s="5" t="s">
        <v>229</v>
      </c>
      <c r="R18" s="5" t="s">
        <v>230</v>
      </c>
      <c r="S18" s="5" t="s">
        <v>231</v>
      </c>
      <c r="T18" s="5" t="s">
        <v>84</v>
      </c>
      <c r="U18" s="5" t="s">
        <v>58</v>
      </c>
      <c r="V18" s="5" t="s">
        <v>51</v>
      </c>
    </row>
    <row r="19" customFormat="false" ht="32.8" hidden="false" customHeight="false" outlineLevel="0" collapsed="false">
      <c r="A19" s="5" t="s">
        <v>232</v>
      </c>
      <c r="B19" s="5" t="s">
        <v>191</v>
      </c>
      <c r="C19" s="5" t="s">
        <v>192</v>
      </c>
      <c r="D19" s="5" t="s">
        <v>233</v>
      </c>
      <c r="E19" s="5" t="s">
        <v>234</v>
      </c>
      <c r="F19" s="5" t="s">
        <v>235</v>
      </c>
      <c r="G19" s="5" t="s">
        <v>192</v>
      </c>
      <c r="H19" s="5" t="s">
        <v>203</v>
      </c>
      <c r="I19" s="5" t="s">
        <v>196</v>
      </c>
      <c r="J19" s="5" t="s">
        <v>236</v>
      </c>
      <c r="K19" s="5" t="s">
        <v>237</v>
      </c>
      <c r="L19" s="5" t="s">
        <v>51</v>
      </c>
      <c r="M19" s="5" t="s">
        <v>79</v>
      </c>
      <c r="N19" s="5" t="s">
        <v>164</v>
      </c>
      <c r="O19" s="5" t="s">
        <v>238</v>
      </c>
      <c r="P19" s="5" t="n">
        <v>2</v>
      </c>
      <c r="Q19" s="5" t="s">
        <v>239</v>
      </c>
      <c r="R19" s="5" t="s">
        <v>240</v>
      </c>
      <c r="S19" s="5" t="s">
        <v>241</v>
      </c>
      <c r="T19" s="5" t="s">
        <v>84</v>
      </c>
      <c r="U19" s="5" t="s">
        <v>58</v>
      </c>
      <c r="V19" s="5" t="s">
        <v>51</v>
      </c>
    </row>
    <row r="20" customFormat="false" ht="22.35" hidden="false" customHeight="false" outlineLevel="0" collapsed="false">
      <c r="A20" s="5" t="s">
        <v>242</v>
      </c>
      <c r="B20" s="5" t="s">
        <v>243</v>
      </c>
      <c r="C20" s="5" t="s">
        <v>244</v>
      </c>
      <c r="D20" s="5" t="s">
        <v>245</v>
      </c>
      <c r="E20" s="5" t="s">
        <v>246</v>
      </c>
      <c r="F20" s="5" t="s">
        <v>247</v>
      </c>
      <c r="G20" s="5" t="s">
        <v>248</v>
      </c>
      <c r="H20" s="5" t="s">
        <v>213</v>
      </c>
      <c r="I20" s="5" t="s">
        <v>196</v>
      </c>
      <c r="J20" s="5" t="s">
        <v>249</v>
      </c>
      <c r="K20" s="5" t="s">
        <v>250</v>
      </c>
      <c r="L20" s="5" t="s">
        <v>84</v>
      </c>
      <c r="M20" s="5" t="s">
        <v>52</v>
      </c>
      <c r="N20" s="5" t="s">
        <v>53</v>
      </c>
      <c r="O20" s="5" t="s">
        <v>67</v>
      </c>
      <c r="P20" s="5" t="n">
        <v>1</v>
      </c>
      <c r="Q20" s="5" t="s">
        <v>251</v>
      </c>
      <c r="R20" s="5" t="s">
        <v>252</v>
      </c>
      <c r="S20" s="5" t="s">
        <v>253</v>
      </c>
      <c r="T20" s="5" t="s">
        <v>84</v>
      </c>
      <c r="U20" s="5" t="s">
        <v>58</v>
      </c>
      <c r="V20" s="5" t="s">
        <v>51</v>
      </c>
    </row>
    <row r="21" customFormat="false" ht="22.35" hidden="false" customHeight="false" outlineLevel="0" collapsed="false">
      <c r="A21" s="5" t="s">
        <v>254</v>
      </c>
      <c r="B21" s="5" t="s">
        <v>243</v>
      </c>
      <c r="C21" s="5" t="s">
        <v>244</v>
      </c>
      <c r="D21" s="5" t="s">
        <v>255</v>
      </c>
      <c r="E21" s="5" t="s">
        <v>256</v>
      </c>
      <c r="F21" s="5" t="s">
        <v>257</v>
      </c>
      <c r="G21" s="5" t="s">
        <v>248</v>
      </c>
      <c r="H21" s="5" t="s">
        <v>213</v>
      </c>
      <c r="I21" s="5" t="s">
        <v>196</v>
      </c>
      <c r="J21" s="5" t="s">
        <v>258</v>
      </c>
      <c r="K21" s="5" t="s">
        <v>259</v>
      </c>
      <c r="L21" s="5" t="s">
        <v>84</v>
      </c>
      <c r="M21" s="5" t="s">
        <v>79</v>
      </c>
      <c r="N21" s="5" t="s">
        <v>53</v>
      </c>
      <c r="O21" s="5" t="s">
        <v>238</v>
      </c>
      <c r="P21" s="5" t="n">
        <v>2</v>
      </c>
      <c r="Q21" s="5" t="s">
        <v>260</v>
      </c>
      <c r="R21" s="5" t="s">
        <v>261</v>
      </c>
      <c r="S21" s="5" t="s">
        <v>262</v>
      </c>
      <c r="T21" s="5" t="s">
        <v>84</v>
      </c>
      <c r="U21" s="5" t="s">
        <v>58</v>
      </c>
      <c r="V21" s="5" t="s">
        <v>51</v>
      </c>
    </row>
    <row r="22" customFormat="false" ht="22.35" hidden="false" customHeight="false" outlineLevel="0" collapsed="false">
      <c r="A22" s="5" t="s">
        <v>263</v>
      </c>
      <c r="B22" s="5" t="s">
        <v>243</v>
      </c>
      <c r="C22" s="5" t="s">
        <v>244</v>
      </c>
      <c r="D22" s="5" t="s">
        <v>264</v>
      </c>
      <c r="E22" s="5" t="s">
        <v>265</v>
      </c>
      <c r="F22" s="5" t="s">
        <v>266</v>
      </c>
      <c r="G22" s="5" t="s">
        <v>248</v>
      </c>
      <c r="H22" s="5" t="s">
        <v>213</v>
      </c>
      <c r="I22" s="5" t="s">
        <v>196</v>
      </c>
      <c r="J22" s="5" t="s">
        <v>267</v>
      </c>
      <c r="K22" s="5" t="s">
        <v>268</v>
      </c>
      <c r="L22" s="5" t="s">
        <v>84</v>
      </c>
      <c r="M22" s="5" t="s">
        <v>79</v>
      </c>
      <c r="N22" s="5" t="s">
        <v>164</v>
      </c>
      <c r="O22" s="5" t="s">
        <v>238</v>
      </c>
      <c r="P22" s="5" t="n">
        <v>2</v>
      </c>
      <c r="Q22" s="5" t="s">
        <v>269</v>
      </c>
      <c r="R22" s="5" t="s">
        <v>270</v>
      </c>
      <c r="S22" s="5" t="s">
        <v>271</v>
      </c>
      <c r="T22" s="5" t="s">
        <v>84</v>
      </c>
      <c r="U22" s="5" t="s">
        <v>58</v>
      </c>
      <c r="V22" s="5" t="s">
        <v>51</v>
      </c>
    </row>
    <row r="23" customFormat="false" ht="22.35" hidden="false" customHeight="false" outlineLevel="0" collapsed="false">
      <c r="A23" s="5" t="s">
        <v>272</v>
      </c>
      <c r="B23" s="5" t="s">
        <v>243</v>
      </c>
      <c r="C23" s="5" t="s">
        <v>244</v>
      </c>
      <c r="D23" s="5" t="s">
        <v>273</v>
      </c>
      <c r="E23" s="5" t="s">
        <v>274</v>
      </c>
      <c r="F23" s="5" t="s">
        <v>275</v>
      </c>
      <c r="G23" s="5" t="s">
        <v>248</v>
      </c>
      <c r="H23" s="5" t="s">
        <v>254</v>
      </c>
      <c r="I23" s="5" t="s">
        <v>196</v>
      </c>
      <c r="J23" s="5" t="s">
        <v>276</v>
      </c>
      <c r="K23" s="5" t="s">
        <v>277</v>
      </c>
      <c r="L23" s="5" t="s">
        <v>84</v>
      </c>
      <c r="M23" s="5" t="s">
        <v>79</v>
      </c>
      <c r="N23" s="5" t="s">
        <v>53</v>
      </c>
      <c r="O23" s="5" t="s">
        <v>67</v>
      </c>
      <c r="P23" s="5" t="n">
        <v>1</v>
      </c>
      <c r="Q23" s="5" t="s">
        <v>278</v>
      </c>
      <c r="R23" s="5" t="s">
        <v>279</v>
      </c>
      <c r="S23" s="5" t="s">
        <v>280</v>
      </c>
      <c r="T23" s="5" t="s">
        <v>84</v>
      </c>
      <c r="U23" s="5" t="s">
        <v>58</v>
      </c>
      <c r="V23" s="5" t="s">
        <v>51</v>
      </c>
    </row>
    <row r="24" customFormat="false" ht="22.35" hidden="false" customHeight="false" outlineLevel="0" collapsed="false">
      <c r="A24" s="5" t="s">
        <v>281</v>
      </c>
      <c r="B24" s="5" t="s">
        <v>243</v>
      </c>
      <c r="C24" s="5" t="s">
        <v>244</v>
      </c>
      <c r="D24" s="5" t="s">
        <v>282</v>
      </c>
      <c r="E24" s="5" t="s">
        <v>283</v>
      </c>
      <c r="F24" s="5" t="s">
        <v>284</v>
      </c>
      <c r="G24" s="5" t="s">
        <v>248</v>
      </c>
      <c r="H24" s="5" t="s">
        <v>263</v>
      </c>
      <c r="I24" s="5" t="s">
        <v>196</v>
      </c>
      <c r="J24" s="5" t="s">
        <v>285</v>
      </c>
      <c r="K24" s="5" t="s">
        <v>237</v>
      </c>
      <c r="L24" s="5" t="s">
        <v>84</v>
      </c>
      <c r="M24" s="5" t="s">
        <v>79</v>
      </c>
      <c r="N24" s="5" t="s">
        <v>164</v>
      </c>
      <c r="O24" s="5" t="s">
        <v>238</v>
      </c>
      <c r="P24" s="5" t="n">
        <v>2</v>
      </c>
      <c r="Q24" s="5" t="s">
        <v>286</v>
      </c>
      <c r="R24" s="5" t="s">
        <v>287</v>
      </c>
      <c r="S24" s="5" t="s">
        <v>288</v>
      </c>
      <c r="T24" s="5" t="s">
        <v>84</v>
      </c>
      <c r="U24" s="5" t="s">
        <v>58</v>
      </c>
      <c r="V24" s="5" t="s">
        <v>51</v>
      </c>
    </row>
    <row r="25" customFormat="false" ht="32.8" hidden="false" customHeight="false" outlineLevel="0" collapsed="false">
      <c r="A25" s="5" t="s">
        <v>289</v>
      </c>
      <c r="B25" s="5" t="s">
        <v>243</v>
      </c>
      <c r="C25" s="5" t="s">
        <v>244</v>
      </c>
      <c r="D25" s="5" t="s">
        <v>290</v>
      </c>
      <c r="E25" s="5" t="s">
        <v>291</v>
      </c>
      <c r="F25" s="5" t="s">
        <v>292</v>
      </c>
      <c r="G25" s="5" t="s">
        <v>248</v>
      </c>
      <c r="H25" s="5" t="s">
        <v>263</v>
      </c>
      <c r="I25" s="5" t="s">
        <v>196</v>
      </c>
      <c r="J25" s="5" t="s">
        <v>293</v>
      </c>
      <c r="K25" s="5" t="s">
        <v>268</v>
      </c>
      <c r="L25" s="5" t="s">
        <v>84</v>
      </c>
      <c r="M25" s="5" t="s">
        <v>79</v>
      </c>
      <c r="N25" s="5" t="s">
        <v>164</v>
      </c>
      <c r="O25" s="5" t="s">
        <v>67</v>
      </c>
      <c r="P25" s="5" t="n">
        <v>1</v>
      </c>
      <c r="Q25" s="5" t="s">
        <v>294</v>
      </c>
      <c r="R25" s="5" t="s">
        <v>295</v>
      </c>
      <c r="S25" s="5" t="s">
        <v>296</v>
      </c>
      <c r="T25" s="5" t="s">
        <v>84</v>
      </c>
      <c r="U25" s="5" t="s">
        <v>58</v>
      </c>
      <c r="V25" s="5" t="s">
        <v>51</v>
      </c>
    </row>
    <row r="26" customFormat="false" ht="22.35" hidden="false" customHeight="false" outlineLevel="0" collapsed="false">
      <c r="A26" s="5" t="s">
        <v>297</v>
      </c>
      <c r="B26" s="5" t="s">
        <v>243</v>
      </c>
      <c r="C26" s="5" t="s">
        <v>244</v>
      </c>
      <c r="D26" s="5" t="s">
        <v>298</v>
      </c>
      <c r="E26" s="5" t="s">
        <v>299</v>
      </c>
      <c r="F26" s="5" t="s">
        <v>300</v>
      </c>
      <c r="G26" s="5" t="s">
        <v>248</v>
      </c>
      <c r="H26" s="5" t="s">
        <v>301</v>
      </c>
      <c r="I26" s="5" t="s">
        <v>196</v>
      </c>
      <c r="J26" s="5" t="s">
        <v>302</v>
      </c>
      <c r="K26" s="5" t="s">
        <v>303</v>
      </c>
      <c r="L26" s="5" t="s">
        <v>84</v>
      </c>
      <c r="M26" s="5" t="s">
        <v>79</v>
      </c>
      <c r="N26" s="5" t="s">
        <v>53</v>
      </c>
      <c r="O26" s="5" t="s">
        <v>105</v>
      </c>
      <c r="P26" s="5" t="n">
        <v>1</v>
      </c>
      <c r="Q26" s="5" t="s">
        <v>304</v>
      </c>
      <c r="R26" s="5" t="s">
        <v>305</v>
      </c>
      <c r="S26" s="5" t="s">
        <v>306</v>
      </c>
      <c r="T26" s="5" t="s">
        <v>84</v>
      </c>
      <c r="U26" s="5" t="s">
        <v>58</v>
      </c>
      <c r="V26" s="5" t="s">
        <v>51</v>
      </c>
    </row>
    <row r="27" customFormat="false" ht="32.8" hidden="false" customHeight="false" outlineLevel="0" collapsed="false">
      <c r="A27" s="5" t="s">
        <v>307</v>
      </c>
      <c r="B27" s="5" t="s">
        <v>308</v>
      </c>
      <c r="C27" s="5" t="s">
        <v>309</v>
      </c>
      <c r="D27" s="5" t="s">
        <v>310</v>
      </c>
      <c r="E27" s="5" t="s">
        <v>311</v>
      </c>
      <c r="F27" s="5" t="s">
        <v>312</v>
      </c>
      <c r="G27" s="5" t="s">
        <v>313</v>
      </c>
      <c r="H27" s="5" t="s">
        <v>297</v>
      </c>
      <c r="I27" s="5" t="s">
        <v>196</v>
      </c>
      <c r="J27" s="5" t="s">
        <v>314</v>
      </c>
      <c r="K27" s="5" t="s">
        <v>315</v>
      </c>
      <c r="L27" s="5" t="s">
        <v>84</v>
      </c>
      <c r="M27" s="5" t="s">
        <v>79</v>
      </c>
      <c r="N27" s="5" t="s">
        <v>164</v>
      </c>
      <c r="O27" s="5" t="s">
        <v>238</v>
      </c>
      <c r="P27" s="5" t="n">
        <v>2</v>
      </c>
      <c r="Q27" s="5" t="s">
        <v>316</v>
      </c>
      <c r="R27" s="5" t="s">
        <v>317</v>
      </c>
      <c r="S27" s="5" t="s">
        <v>318</v>
      </c>
      <c r="T27" s="5" t="s">
        <v>84</v>
      </c>
      <c r="U27" s="5" t="s">
        <v>58</v>
      </c>
      <c r="V27" s="5" t="s">
        <v>51</v>
      </c>
    </row>
    <row r="28" customFormat="false" ht="32.8" hidden="false" customHeight="false" outlineLevel="0" collapsed="false">
      <c r="A28" s="5" t="s">
        <v>319</v>
      </c>
      <c r="B28" s="5" t="s">
        <v>308</v>
      </c>
      <c r="C28" s="5" t="s">
        <v>309</v>
      </c>
      <c r="D28" s="5" t="s">
        <v>320</v>
      </c>
      <c r="E28" s="5" t="s">
        <v>321</v>
      </c>
      <c r="F28" s="5" t="s">
        <v>322</v>
      </c>
      <c r="G28" s="5" t="s">
        <v>313</v>
      </c>
      <c r="H28" s="5" t="s">
        <v>307</v>
      </c>
      <c r="I28" s="5" t="s">
        <v>196</v>
      </c>
      <c r="J28" s="5" t="s">
        <v>323</v>
      </c>
      <c r="K28" s="5" t="s">
        <v>315</v>
      </c>
      <c r="L28" s="5" t="s">
        <v>84</v>
      </c>
      <c r="M28" s="5" t="s">
        <v>79</v>
      </c>
      <c r="N28" s="5" t="s">
        <v>53</v>
      </c>
      <c r="O28" s="5" t="s">
        <v>67</v>
      </c>
      <c r="P28" s="5" t="n">
        <v>1</v>
      </c>
      <c r="Q28" s="5" t="s">
        <v>324</v>
      </c>
      <c r="R28" s="5" t="s">
        <v>325</v>
      </c>
      <c r="S28" s="5" t="s">
        <v>326</v>
      </c>
      <c r="T28" s="5" t="s">
        <v>84</v>
      </c>
      <c r="U28" s="5" t="s">
        <v>58</v>
      </c>
      <c r="V28" s="5" t="s">
        <v>51</v>
      </c>
    </row>
    <row r="29" customFormat="false" ht="22.35" hidden="false" customHeight="false" outlineLevel="0" collapsed="false">
      <c r="A29" s="5" t="s">
        <v>327</v>
      </c>
      <c r="B29" s="5" t="s">
        <v>308</v>
      </c>
      <c r="C29" s="5" t="s">
        <v>309</v>
      </c>
      <c r="D29" s="5" t="s">
        <v>328</v>
      </c>
      <c r="E29" s="5" t="s">
        <v>329</v>
      </c>
      <c r="F29" s="5" t="s">
        <v>330</v>
      </c>
      <c r="G29" s="5" t="s">
        <v>313</v>
      </c>
      <c r="H29" s="5" t="s">
        <v>307</v>
      </c>
      <c r="I29" s="5" t="s">
        <v>196</v>
      </c>
      <c r="J29" s="5" t="s">
        <v>331</v>
      </c>
      <c r="K29" s="5" t="s">
        <v>315</v>
      </c>
      <c r="L29" s="5" t="s">
        <v>84</v>
      </c>
      <c r="M29" s="5" t="s">
        <v>79</v>
      </c>
      <c r="N29" s="5" t="s">
        <v>53</v>
      </c>
      <c r="O29" s="5" t="s">
        <v>105</v>
      </c>
      <c r="P29" s="5" t="n">
        <v>1</v>
      </c>
      <c r="Q29" s="5" t="s">
        <v>332</v>
      </c>
      <c r="R29" s="5" t="s">
        <v>333</v>
      </c>
      <c r="S29" s="5" t="s">
        <v>334</v>
      </c>
      <c r="T29" s="5" t="s">
        <v>84</v>
      </c>
      <c r="U29" s="5" t="s">
        <v>58</v>
      </c>
      <c r="V29" s="5" t="s">
        <v>51</v>
      </c>
    </row>
    <row r="30" customFormat="false" ht="22.35" hidden="false" customHeight="false" outlineLevel="0" collapsed="false">
      <c r="A30" s="5" t="s">
        <v>335</v>
      </c>
      <c r="B30" s="5" t="s">
        <v>308</v>
      </c>
      <c r="C30" s="5" t="s">
        <v>309</v>
      </c>
      <c r="D30" s="5" t="s">
        <v>336</v>
      </c>
      <c r="E30" s="5" t="s">
        <v>337</v>
      </c>
      <c r="F30" s="5" t="s">
        <v>338</v>
      </c>
      <c r="G30" s="5" t="s">
        <v>313</v>
      </c>
      <c r="H30" s="5" t="s">
        <v>307</v>
      </c>
      <c r="I30" s="5" t="s">
        <v>196</v>
      </c>
      <c r="J30" s="5" t="s">
        <v>339</v>
      </c>
      <c r="K30" s="5" t="s">
        <v>315</v>
      </c>
      <c r="L30" s="5" t="s">
        <v>84</v>
      </c>
      <c r="M30" s="5" t="s">
        <v>79</v>
      </c>
      <c r="N30" s="5" t="s">
        <v>53</v>
      </c>
      <c r="O30" s="5" t="s">
        <v>105</v>
      </c>
      <c r="P30" s="5" t="n">
        <v>1</v>
      </c>
      <c r="Q30" s="5" t="s">
        <v>340</v>
      </c>
      <c r="R30" s="5" t="s">
        <v>341</v>
      </c>
      <c r="S30" s="5" t="s">
        <v>342</v>
      </c>
      <c r="T30" s="5" t="s">
        <v>84</v>
      </c>
      <c r="U30" s="5" t="s">
        <v>58</v>
      </c>
      <c r="V30" s="5" t="s">
        <v>51</v>
      </c>
    </row>
    <row r="31" customFormat="false" ht="22.35" hidden="false" customHeight="false" outlineLevel="0" collapsed="false">
      <c r="A31" s="5" t="s">
        <v>343</v>
      </c>
      <c r="B31" s="5" t="s">
        <v>308</v>
      </c>
      <c r="C31" s="5" t="s">
        <v>309</v>
      </c>
      <c r="D31" s="5" t="s">
        <v>344</v>
      </c>
      <c r="E31" s="5" t="s">
        <v>345</v>
      </c>
      <c r="F31" s="5" t="s">
        <v>346</v>
      </c>
      <c r="G31" s="5" t="s">
        <v>313</v>
      </c>
      <c r="H31" s="5" t="s">
        <v>307</v>
      </c>
      <c r="I31" s="5" t="s">
        <v>196</v>
      </c>
      <c r="J31" s="5" t="s">
        <v>347</v>
      </c>
      <c r="K31" s="5" t="s">
        <v>315</v>
      </c>
      <c r="L31" s="5" t="s">
        <v>84</v>
      </c>
      <c r="M31" s="5" t="s">
        <v>79</v>
      </c>
      <c r="N31" s="5" t="s">
        <v>164</v>
      </c>
      <c r="O31" s="5" t="s">
        <v>67</v>
      </c>
      <c r="P31" s="5" t="n">
        <v>1</v>
      </c>
      <c r="Q31" s="5" t="s">
        <v>348</v>
      </c>
      <c r="R31" s="5" t="s">
        <v>349</v>
      </c>
      <c r="S31" s="5" t="s">
        <v>350</v>
      </c>
      <c r="T31" s="5" t="s">
        <v>84</v>
      </c>
      <c r="U31" s="5" t="s">
        <v>58</v>
      </c>
      <c r="V31" s="5" t="s">
        <v>51</v>
      </c>
    </row>
    <row r="32" customFormat="false" ht="22.35" hidden="false" customHeight="false" outlineLevel="0" collapsed="false">
      <c r="A32" s="5" t="s">
        <v>351</v>
      </c>
      <c r="B32" s="5" t="s">
        <v>352</v>
      </c>
      <c r="C32" s="5" t="s">
        <v>353</v>
      </c>
      <c r="D32" s="5" t="s">
        <v>354</v>
      </c>
      <c r="E32" s="5" t="s">
        <v>355</v>
      </c>
      <c r="F32" s="5" t="s">
        <v>356</v>
      </c>
      <c r="G32" s="5" t="s">
        <v>357</v>
      </c>
      <c r="H32" s="5" t="s">
        <v>358</v>
      </c>
      <c r="I32" s="5" t="s">
        <v>196</v>
      </c>
      <c r="J32" s="5" t="s">
        <v>359</v>
      </c>
      <c r="K32" s="5" t="s">
        <v>360</v>
      </c>
      <c r="L32" s="5" t="s">
        <v>51</v>
      </c>
      <c r="M32" s="5" t="s">
        <v>79</v>
      </c>
      <c r="N32" s="5" t="s">
        <v>164</v>
      </c>
      <c r="O32" s="5" t="s">
        <v>361</v>
      </c>
      <c r="P32" s="5" t="n">
        <v>3</v>
      </c>
      <c r="Q32" s="5" t="s">
        <v>362</v>
      </c>
      <c r="R32" s="5" t="s">
        <v>363</v>
      </c>
      <c r="S32" s="5" t="s">
        <v>364</v>
      </c>
      <c r="T32" s="5" t="s">
        <v>84</v>
      </c>
      <c r="U32" s="5" t="s">
        <v>58</v>
      </c>
      <c r="V32" s="5" t="s">
        <v>51</v>
      </c>
    </row>
    <row r="33" customFormat="false" ht="22.35" hidden="false" customHeight="false" outlineLevel="0" collapsed="false">
      <c r="A33" s="5" t="s">
        <v>365</v>
      </c>
      <c r="B33" s="5" t="s">
        <v>352</v>
      </c>
      <c r="C33" s="5" t="s">
        <v>353</v>
      </c>
      <c r="D33" s="5" t="s">
        <v>366</v>
      </c>
      <c r="E33" s="5" t="s">
        <v>367</v>
      </c>
      <c r="F33" s="5" t="s">
        <v>368</v>
      </c>
      <c r="G33" s="5" t="s">
        <v>357</v>
      </c>
      <c r="H33" s="5" t="s">
        <v>351</v>
      </c>
      <c r="I33" s="5" t="s">
        <v>196</v>
      </c>
      <c r="J33" s="5" t="s">
        <v>369</v>
      </c>
      <c r="K33" s="5" t="s">
        <v>370</v>
      </c>
      <c r="L33" s="5" t="s">
        <v>51</v>
      </c>
      <c r="M33" s="5" t="s">
        <v>79</v>
      </c>
      <c r="N33" s="5" t="s">
        <v>164</v>
      </c>
      <c r="O33" s="5" t="s">
        <v>67</v>
      </c>
      <c r="P33" s="5" t="n">
        <v>1</v>
      </c>
      <c r="Q33" s="5" t="s">
        <v>371</v>
      </c>
      <c r="R33" s="5" t="s">
        <v>372</v>
      </c>
      <c r="S33" s="5" t="s">
        <v>373</v>
      </c>
      <c r="T33" s="5" t="s">
        <v>84</v>
      </c>
      <c r="U33" s="5" t="s">
        <v>58</v>
      </c>
      <c r="V33" s="5" t="s">
        <v>51</v>
      </c>
    </row>
    <row r="34" customFormat="false" ht="22.35" hidden="false" customHeight="false" outlineLevel="0" collapsed="false">
      <c r="A34" s="5" t="s">
        <v>173</v>
      </c>
      <c r="B34" s="5" t="s">
        <v>352</v>
      </c>
      <c r="C34" s="5" t="s">
        <v>353</v>
      </c>
      <c r="D34" s="5" t="s">
        <v>374</v>
      </c>
      <c r="E34" s="5" t="s">
        <v>375</v>
      </c>
      <c r="F34" s="5" t="s">
        <v>376</v>
      </c>
      <c r="G34" s="5" t="s">
        <v>357</v>
      </c>
      <c r="H34" s="5" t="s">
        <v>365</v>
      </c>
      <c r="I34" s="5" t="s">
        <v>196</v>
      </c>
      <c r="J34" s="5" t="s">
        <v>377</v>
      </c>
      <c r="K34" s="5" t="s">
        <v>378</v>
      </c>
      <c r="L34" s="5" t="s">
        <v>84</v>
      </c>
      <c r="M34" s="5" t="s">
        <v>79</v>
      </c>
      <c r="N34" s="5" t="s">
        <v>164</v>
      </c>
      <c r="O34" s="5" t="s">
        <v>379</v>
      </c>
      <c r="P34" s="5" t="n">
        <v>4</v>
      </c>
      <c r="Q34" s="5" t="s">
        <v>380</v>
      </c>
      <c r="R34" s="5" t="s">
        <v>381</v>
      </c>
      <c r="S34" s="5" t="s">
        <v>382</v>
      </c>
      <c r="T34" s="5" t="s">
        <v>84</v>
      </c>
      <c r="U34" s="5" t="s">
        <v>58</v>
      </c>
      <c r="V34" s="5" t="s">
        <v>51</v>
      </c>
    </row>
    <row r="35" customFormat="false" ht="22.35" hidden="false" customHeight="false" outlineLevel="0" collapsed="false">
      <c r="A35" s="5" t="s">
        <v>383</v>
      </c>
      <c r="B35" s="5" t="s">
        <v>352</v>
      </c>
      <c r="C35" s="5" t="s">
        <v>353</v>
      </c>
      <c r="D35" s="5" t="s">
        <v>384</v>
      </c>
      <c r="E35" s="5" t="s">
        <v>385</v>
      </c>
      <c r="F35" s="5" t="s">
        <v>386</v>
      </c>
      <c r="G35" s="5" t="s">
        <v>357</v>
      </c>
      <c r="H35" s="5" t="s">
        <v>365</v>
      </c>
      <c r="I35" s="5" t="s">
        <v>196</v>
      </c>
      <c r="J35" s="5" t="s">
        <v>387</v>
      </c>
      <c r="K35" s="5" t="s">
        <v>388</v>
      </c>
      <c r="L35" s="5" t="s">
        <v>84</v>
      </c>
      <c r="M35" s="5" t="s">
        <v>52</v>
      </c>
      <c r="N35" s="5" t="s">
        <v>53</v>
      </c>
      <c r="O35" s="5" t="s">
        <v>389</v>
      </c>
      <c r="P35" s="5" t="n">
        <v>1</v>
      </c>
      <c r="Q35" s="5" t="s">
        <v>390</v>
      </c>
      <c r="R35" s="5" t="s">
        <v>391</v>
      </c>
      <c r="S35" s="5" t="s">
        <v>392</v>
      </c>
      <c r="T35" s="5" t="s">
        <v>84</v>
      </c>
      <c r="U35" s="5" t="s">
        <v>58</v>
      </c>
      <c r="V35" s="5" t="s">
        <v>51</v>
      </c>
    </row>
    <row r="36" customFormat="false" ht="22.35" hidden="false" customHeight="false" outlineLevel="0" collapsed="false">
      <c r="A36" s="5" t="s">
        <v>393</v>
      </c>
      <c r="B36" s="5" t="s">
        <v>352</v>
      </c>
      <c r="C36" s="5" t="s">
        <v>353</v>
      </c>
      <c r="D36" s="5" t="s">
        <v>394</v>
      </c>
      <c r="E36" s="5" t="s">
        <v>395</v>
      </c>
      <c r="F36" s="5" t="s">
        <v>396</v>
      </c>
      <c r="G36" s="5" t="s">
        <v>357</v>
      </c>
      <c r="H36" s="5" t="s">
        <v>173</v>
      </c>
      <c r="I36" s="5" t="s">
        <v>48</v>
      </c>
      <c r="J36" s="5" t="s">
        <v>397</v>
      </c>
      <c r="K36" s="5" t="s">
        <v>398</v>
      </c>
      <c r="L36" s="5" t="s">
        <v>51</v>
      </c>
      <c r="M36" s="5" t="s">
        <v>52</v>
      </c>
      <c r="N36" s="5" t="s">
        <v>53</v>
      </c>
      <c r="O36" s="5" t="s">
        <v>67</v>
      </c>
      <c r="P36" s="5" t="n">
        <v>1</v>
      </c>
      <c r="Q36" s="5" t="s">
        <v>399</v>
      </c>
      <c r="R36" s="5" t="s">
        <v>400</v>
      </c>
      <c r="S36" s="5" t="s">
        <v>401</v>
      </c>
      <c r="T36" s="5" t="s">
        <v>84</v>
      </c>
      <c r="U36" s="5" t="s">
        <v>58</v>
      </c>
      <c r="V36" s="5" t="s">
        <v>51</v>
      </c>
    </row>
    <row r="37" customFormat="false" ht="22.35" hidden="false" customHeight="false" outlineLevel="0" collapsed="false">
      <c r="A37" s="5" t="s">
        <v>402</v>
      </c>
      <c r="B37" s="5" t="s">
        <v>352</v>
      </c>
      <c r="C37" s="5" t="s">
        <v>353</v>
      </c>
      <c r="D37" s="5" t="s">
        <v>403</v>
      </c>
      <c r="E37" s="5" t="s">
        <v>404</v>
      </c>
      <c r="F37" s="5" t="s">
        <v>405</v>
      </c>
      <c r="G37" s="5" t="s">
        <v>357</v>
      </c>
      <c r="H37" s="5" t="s">
        <v>169</v>
      </c>
      <c r="I37" s="5" t="s">
        <v>196</v>
      </c>
      <c r="J37" s="5" t="s">
        <v>406</v>
      </c>
      <c r="K37" s="5" t="s">
        <v>407</v>
      </c>
      <c r="L37" s="5" t="s">
        <v>84</v>
      </c>
      <c r="M37" s="5" t="s">
        <v>408</v>
      </c>
      <c r="N37" s="5" t="s">
        <v>53</v>
      </c>
      <c r="O37" s="5" t="s">
        <v>176</v>
      </c>
      <c r="P37" s="5" t="n">
        <v>1</v>
      </c>
      <c r="Q37" s="5" t="s">
        <v>409</v>
      </c>
      <c r="R37" s="5" t="s">
        <v>410</v>
      </c>
      <c r="S37" s="5" t="s">
        <v>411</v>
      </c>
      <c r="T37" s="5" t="s">
        <v>180</v>
      </c>
      <c r="U37" s="5" t="s">
        <v>58</v>
      </c>
      <c r="V37" s="5" t="s">
        <v>51</v>
      </c>
    </row>
    <row r="38" customFormat="false" ht="22.35" hidden="false" customHeight="false" outlineLevel="0" collapsed="false">
      <c r="A38" s="5" t="s">
        <v>412</v>
      </c>
      <c r="B38" s="5" t="s">
        <v>413</v>
      </c>
      <c r="C38" s="5" t="s">
        <v>414</v>
      </c>
      <c r="D38" s="5" t="s">
        <v>415</v>
      </c>
      <c r="E38" s="5" t="s">
        <v>416</v>
      </c>
      <c r="F38" s="5" t="s">
        <v>417</v>
      </c>
      <c r="G38" s="5" t="s">
        <v>418</v>
      </c>
      <c r="H38" s="5" t="s">
        <v>419</v>
      </c>
      <c r="I38" s="5" t="s">
        <v>196</v>
      </c>
      <c r="J38" s="5" t="s">
        <v>420</v>
      </c>
      <c r="K38" s="5" t="s">
        <v>421</v>
      </c>
      <c r="L38" s="5" t="s">
        <v>51</v>
      </c>
      <c r="M38" s="5" t="s">
        <v>79</v>
      </c>
      <c r="N38" s="5" t="s">
        <v>164</v>
      </c>
      <c r="O38" s="5" t="s">
        <v>238</v>
      </c>
      <c r="P38" s="5" t="n">
        <v>2</v>
      </c>
      <c r="Q38" s="5" t="s">
        <v>422</v>
      </c>
      <c r="R38" s="5" t="s">
        <v>423</v>
      </c>
      <c r="S38" s="5" t="s">
        <v>424</v>
      </c>
      <c r="T38" s="5" t="s">
        <v>84</v>
      </c>
      <c r="U38" s="5" t="s">
        <v>58</v>
      </c>
      <c r="V38" s="5" t="s">
        <v>51</v>
      </c>
    </row>
    <row r="39" customFormat="false" ht="22.35" hidden="false" customHeight="false" outlineLevel="0" collapsed="false">
      <c r="A39" s="5" t="s">
        <v>425</v>
      </c>
      <c r="B39" s="5" t="s">
        <v>413</v>
      </c>
      <c r="C39" s="5" t="s">
        <v>414</v>
      </c>
      <c r="D39" s="5" t="s">
        <v>426</v>
      </c>
      <c r="E39" s="5" t="s">
        <v>427</v>
      </c>
      <c r="F39" s="5" t="s">
        <v>428</v>
      </c>
      <c r="G39" s="5" t="s">
        <v>418</v>
      </c>
      <c r="H39" s="5" t="s">
        <v>429</v>
      </c>
      <c r="I39" s="5" t="s">
        <v>196</v>
      </c>
      <c r="J39" s="5" t="s">
        <v>430</v>
      </c>
      <c r="K39" s="5" t="s">
        <v>431</v>
      </c>
      <c r="L39" s="5" t="s">
        <v>84</v>
      </c>
      <c r="M39" s="5" t="s">
        <v>79</v>
      </c>
      <c r="N39" s="5" t="s">
        <v>53</v>
      </c>
      <c r="O39" s="5" t="s">
        <v>67</v>
      </c>
      <c r="P39" s="5" t="n">
        <v>1</v>
      </c>
      <c r="Q39" s="5" t="s">
        <v>432</v>
      </c>
      <c r="R39" s="5" t="s">
        <v>433</v>
      </c>
      <c r="S39" s="5" t="s">
        <v>434</v>
      </c>
      <c r="T39" s="5" t="s">
        <v>84</v>
      </c>
      <c r="U39" s="5" t="s">
        <v>58</v>
      </c>
      <c r="V39" s="5" t="s">
        <v>51</v>
      </c>
    </row>
    <row r="40" customFormat="false" ht="32.8" hidden="false" customHeight="false" outlineLevel="0" collapsed="false">
      <c r="A40" s="5" t="s">
        <v>435</v>
      </c>
      <c r="B40" s="5" t="s">
        <v>413</v>
      </c>
      <c r="C40" s="5" t="s">
        <v>414</v>
      </c>
      <c r="D40" s="5" t="s">
        <v>436</v>
      </c>
      <c r="E40" s="5" t="s">
        <v>437</v>
      </c>
      <c r="F40" s="5" t="s">
        <v>438</v>
      </c>
      <c r="G40" s="5" t="s">
        <v>418</v>
      </c>
      <c r="H40" s="5" t="s">
        <v>412</v>
      </c>
      <c r="I40" s="5" t="s">
        <v>196</v>
      </c>
      <c r="J40" s="5" t="s">
        <v>439</v>
      </c>
      <c r="K40" s="5" t="s">
        <v>186</v>
      </c>
      <c r="L40" s="5" t="s">
        <v>84</v>
      </c>
      <c r="M40" s="5" t="s">
        <v>79</v>
      </c>
      <c r="N40" s="5" t="s">
        <v>164</v>
      </c>
      <c r="O40" s="5" t="s">
        <v>67</v>
      </c>
      <c r="P40" s="5" t="n">
        <v>1</v>
      </c>
      <c r="Q40" s="5" t="s">
        <v>440</v>
      </c>
      <c r="R40" s="5" t="s">
        <v>441</v>
      </c>
      <c r="S40" s="5" t="s">
        <v>442</v>
      </c>
      <c r="T40" s="5" t="s">
        <v>84</v>
      </c>
      <c r="U40" s="5" t="s">
        <v>58</v>
      </c>
      <c r="V40" s="5" t="s">
        <v>51</v>
      </c>
    </row>
    <row r="41" customFormat="false" ht="32.8" hidden="false" customHeight="false" outlineLevel="0" collapsed="false">
      <c r="A41" s="5" t="s">
        <v>443</v>
      </c>
      <c r="B41" s="5" t="s">
        <v>413</v>
      </c>
      <c r="C41" s="5" t="s">
        <v>414</v>
      </c>
      <c r="D41" s="5" t="s">
        <v>444</v>
      </c>
      <c r="E41" s="5" t="s">
        <v>445</v>
      </c>
      <c r="F41" s="5" t="s">
        <v>446</v>
      </c>
      <c r="G41" s="5" t="s">
        <v>418</v>
      </c>
      <c r="H41" s="5" t="s">
        <v>412</v>
      </c>
      <c r="I41" s="5" t="s">
        <v>196</v>
      </c>
      <c r="J41" s="5" t="s">
        <v>447</v>
      </c>
      <c r="K41" s="5" t="s">
        <v>448</v>
      </c>
      <c r="L41" s="5" t="s">
        <v>84</v>
      </c>
      <c r="M41" s="5" t="s">
        <v>408</v>
      </c>
      <c r="N41" s="5" t="s">
        <v>164</v>
      </c>
      <c r="O41" s="5" t="s">
        <v>67</v>
      </c>
      <c r="P41" s="5" t="n">
        <v>1</v>
      </c>
      <c r="Q41" s="5" t="s">
        <v>449</v>
      </c>
      <c r="R41" s="5" t="s">
        <v>450</v>
      </c>
      <c r="S41" s="5" t="s">
        <v>451</v>
      </c>
      <c r="T41" s="5" t="s">
        <v>180</v>
      </c>
      <c r="U41" s="5" t="s">
        <v>58</v>
      </c>
      <c r="V41" s="5" t="s">
        <v>51</v>
      </c>
    </row>
    <row r="42" customFormat="false" ht="22.35" hidden="false" customHeight="false" outlineLevel="0" collapsed="false">
      <c r="A42" s="5" t="s">
        <v>452</v>
      </c>
      <c r="B42" s="5" t="s">
        <v>413</v>
      </c>
      <c r="C42" s="5" t="s">
        <v>414</v>
      </c>
      <c r="D42" s="5" t="s">
        <v>453</v>
      </c>
      <c r="E42" s="5" t="s">
        <v>454</v>
      </c>
      <c r="F42" s="5" t="s">
        <v>455</v>
      </c>
      <c r="G42" s="5" t="s">
        <v>418</v>
      </c>
      <c r="H42" s="5" t="s">
        <v>456</v>
      </c>
      <c r="I42" s="5" t="s">
        <v>196</v>
      </c>
      <c r="J42" s="5" t="s">
        <v>457</v>
      </c>
      <c r="K42" s="5" t="s">
        <v>458</v>
      </c>
      <c r="L42" s="5" t="s">
        <v>84</v>
      </c>
      <c r="M42" s="5" t="s">
        <v>79</v>
      </c>
      <c r="N42" s="5" t="s">
        <v>53</v>
      </c>
      <c r="O42" s="5" t="s">
        <v>105</v>
      </c>
      <c r="P42" s="5" t="n">
        <v>1</v>
      </c>
      <c r="Q42" s="5" t="s">
        <v>459</v>
      </c>
      <c r="R42" s="5" t="s">
        <v>460</v>
      </c>
      <c r="S42" s="5" t="s">
        <v>461</v>
      </c>
      <c r="T42" s="5" t="s">
        <v>84</v>
      </c>
      <c r="U42" s="5" t="s">
        <v>58</v>
      </c>
      <c r="V42" s="5" t="s">
        <v>51</v>
      </c>
    </row>
    <row r="43" customFormat="false" ht="22.35" hidden="false" customHeight="false" outlineLevel="0" collapsed="false">
      <c r="A43" s="5" t="s">
        <v>462</v>
      </c>
      <c r="B43" s="5" t="s">
        <v>413</v>
      </c>
      <c r="C43" s="5" t="s">
        <v>414</v>
      </c>
      <c r="D43" s="5" t="s">
        <v>463</v>
      </c>
      <c r="E43" s="5" t="s">
        <v>464</v>
      </c>
      <c r="F43" s="5" t="s">
        <v>465</v>
      </c>
      <c r="G43" s="5" t="s">
        <v>418</v>
      </c>
      <c r="H43" s="5" t="s">
        <v>452</v>
      </c>
      <c r="I43" s="5" t="s">
        <v>196</v>
      </c>
      <c r="J43" s="5" t="s">
        <v>466</v>
      </c>
      <c r="K43" s="5" t="s">
        <v>467</v>
      </c>
      <c r="L43" s="5" t="s">
        <v>51</v>
      </c>
      <c r="M43" s="5" t="s">
        <v>408</v>
      </c>
      <c r="N43" s="5" t="s">
        <v>53</v>
      </c>
      <c r="O43" s="5" t="s">
        <v>468</v>
      </c>
      <c r="P43" s="5" t="n">
        <v>1</v>
      </c>
      <c r="Q43" s="5" t="s">
        <v>469</v>
      </c>
      <c r="R43" s="5" t="s">
        <v>470</v>
      </c>
      <c r="S43" s="5" t="s">
        <v>471</v>
      </c>
      <c r="T43" s="5" t="s">
        <v>180</v>
      </c>
      <c r="U43" s="5" t="s">
        <v>58</v>
      </c>
      <c r="V43" s="5" t="s">
        <v>51</v>
      </c>
    </row>
    <row r="44" customFormat="false" ht="22.35" hidden="false" customHeight="false" outlineLevel="0" collapsed="false">
      <c r="A44" s="5" t="s">
        <v>472</v>
      </c>
      <c r="B44" s="5" t="s">
        <v>473</v>
      </c>
      <c r="C44" s="5" t="s">
        <v>474</v>
      </c>
      <c r="D44" s="5" t="s">
        <v>475</v>
      </c>
      <c r="E44" s="5" t="s">
        <v>476</v>
      </c>
      <c r="F44" s="5" t="s">
        <v>477</v>
      </c>
      <c r="G44" s="5" t="s">
        <v>478</v>
      </c>
      <c r="H44" s="5" t="s">
        <v>452</v>
      </c>
      <c r="I44" s="5" t="s">
        <v>196</v>
      </c>
      <c r="J44" s="5" t="s">
        <v>479</v>
      </c>
      <c r="K44" s="5" t="s">
        <v>480</v>
      </c>
      <c r="L44" s="5" t="s">
        <v>51</v>
      </c>
      <c r="M44" s="5" t="s">
        <v>79</v>
      </c>
      <c r="N44" s="5" t="s">
        <v>53</v>
      </c>
      <c r="O44" s="5" t="s">
        <v>105</v>
      </c>
      <c r="P44" s="5" t="n">
        <v>1</v>
      </c>
      <c r="Q44" s="5" t="s">
        <v>481</v>
      </c>
      <c r="R44" s="5" t="s">
        <v>482</v>
      </c>
      <c r="S44" s="5" t="s">
        <v>483</v>
      </c>
      <c r="T44" s="5" t="s">
        <v>84</v>
      </c>
      <c r="U44" s="5" t="s">
        <v>58</v>
      </c>
      <c r="V44" s="5" t="s">
        <v>51</v>
      </c>
    </row>
    <row r="45" customFormat="false" ht="22.35" hidden="false" customHeight="false" outlineLevel="0" collapsed="false">
      <c r="A45" s="5" t="s">
        <v>484</v>
      </c>
      <c r="B45" s="5" t="s">
        <v>473</v>
      </c>
      <c r="C45" s="5" t="s">
        <v>474</v>
      </c>
      <c r="D45" s="5" t="s">
        <v>485</v>
      </c>
      <c r="E45" s="5" t="s">
        <v>486</v>
      </c>
      <c r="F45" s="5" t="s">
        <v>487</v>
      </c>
      <c r="G45" s="5" t="s">
        <v>478</v>
      </c>
      <c r="H45" s="5" t="s">
        <v>472</v>
      </c>
      <c r="I45" s="5" t="s">
        <v>196</v>
      </c>
      <c r="J45" s="5" t="s">
        <v>488</v>
      </c>
      <c r="K45" s="5" t="s">
        <v>489</v>
      </c>
      <c r="L45" s="5" t="s">
        <v>51</v>
      </c>
      <c r="M45" s="5" t="s">
        <v>79</v>
      </c>
      <c r="N45" s="5" t="s">
        <v>53</v>
      </c>
      <c r="O45" s="5" t="s">
        <v>228</v>
      </c>
      <c r="P45" s="5" t="n">
        <v>1</v>
      </c>
      <c r="Q45" s="5" t="s">
        <v>490</v>
      </c>
      <c r="R45" s="5" t="s">
        <v>491</v>
      </c>
      <c r="S45" s="5" t="s">
        <v>492</v>
      </c>
      <c r="T45" s="5" t="s">
        <v>84</v>
      </c>
      <c r="U45" s="5" t="s">
        <v>58</v>
      </c>
      <c r="V45" s="5" t="s">
        <v>51</v>
      </c>
    </row>
    <row r="46" customFormat="false" ht="22.35" hidden="false" customHeight="false" outlineLevel="0" collapsed="false">
      <c r="A46" s="5" t="s">
        <v>493</v>
      </c>
      <c r="B46" s="5" t="s">
        <v>473</v>
      </c>
      <c r="C46" s="5" t="s">
        <v>474</v>
      </c>
      <c r="D46" s="5" t="s">
        <v>494</v>
      </c>
      <c r="E46" s="5" t="s">
        <v>495</v>
      </c>
      <c r="F46" s="5" t="s">
        <v>496</v>
      </c>
      <c r="G46" s="5" t="s">
        <v>478</v>
      </c>
      <c r="H46" s="5" t="s">
        <v>343</v>
      </c>
      <c r="I46" s="5" t="s">
        <v>196</v>
      </c>
      <c r="J46" s="5" t="s">
        <v>494</v>
      </c>
      <c r="K46" s="5" t="s">
        <v>497</v>
      </c>
      <c r="L46" s="5" t="s">
        <v>51</v>
      </c>
      <c r="M46" s="5" t="s">
        <v>79</v>
      </c>
      <c r="N46" s="5" t="s">
        <v>53</v>
      </c>
      <c r="O46" s="5" t="s">
        <v>498</v>
      </c>
      <c r="P46" s="5" t="n">
        <v>1</v>
      </c>
      <c r="Q46" s="5" t="s">
        <v>499</v>
      </c>
      <c r="R46" s="5" t="s">
        <v>500</v>
      </c>
      <c r="S46" s="5" t="s">
        <v>501</v>
      </c>
      <c r="T46" s="5" t="s">
        <v>84</v>
      </c>
      <c r="U46" s="5" t="s">
        <v>58</v>
      </c>
      <c r="V46" s="5" t="s">
        <v>51</v>
      </c>
    </row>
    <row r="47" customFormat="false" ht="22.35" hidden="false" customHeight="false" outlineLevel="0" collapsed="false">
      <c r="A47" s="5" t="s">
        <v>502</v>
      </c>
      <c r="B47" s="5" t="s">
        <v>473</v>
      </c>
      <c r="C47" s="5" t="s">
        <v>474</v>
      </c>
      <c r="D47" s="5" t="s">
        <v>503</v>
      </c>
      <c r="E47" s="5" t="s">
        <v>504</v>
      </c>
      <c r="F47" s="5" t="s">
        <v>505</v>
      </c>
      <c r="G47" s="5" t="s">
        <v>478</v>
      </c>
      <c r="H47" s="5" t="s">
        <v>484</v>
      </c>
      <c r="I47" s="5" t="s">
        <v>196</v>
      </c>
      <c r="J47" s="5" t="s">
        <v>506</v>
      </c>
      <c r="K47" s="5" t="s">
        <v>507</v>
      </c>
      <c r="L47" s="5" t="s">
        <v>51</v>
      </c>
      <c r="M47" s="5" t="s">
        <v>408</v>
      </c>
      <c r="N47" s="5" t="s">
        <v>53</v>
      </c>
      <c r="O47" s="5" t="s">
        <v>508</v>
      </c>
      <c r="P47" s="5" t="n">
        <v>1</v>
      </c>
      <c r="Q47" s="5" t="s">
        <v>509</v>
      </c>
      <c r="R47" s="5" t="s">
        <v>510</v>
      </c>
      <c r="S47" s="5" t="s">
        <v>511</v>
      </c>
      <c r="T47" s="5" t="s">
        <v>180</v>
      </c>
      <c r="U47" s="5" t="s">
        <v>58</v>
      </c>
      <c r="V47" s="5" t="s">
        <v>51</v>
      </c>
    </row>
    <row r="48" customFormat="false" ht="22.35" hidden="false" customHeight="false" outlineLevel="0" collapsed="false">
      <c r="A48" s="5" t="s">
        <v>512</v>
      </c>
      <c r="B48" s="5" t="s">
        <v>473</v>
      </c>
      <c r="C48" s="5" t="s">
        <v>474</v>
      </c>
      <c r="D48" s="5" t="s">
        <v>513</v>
      </c>
      <c r="E48" s="5" t="s">
        <v>514</v>
      </c>
      <c r="F48" s="5" t="s">
        <v>515</v>
      </c>
      <c r="G48" s="5" t="s">
        <v>478</v>
      </c>
      <c r="H48" s="5" t="s">
        <v>493</v>
      </c>
      <c r="I48" s="5" t="s">
        <v>196</v>
      </c>
      <c r="J48" s="5" t="s">
        <v>516</v>
      </c>
      <c r="K48" s="5" t="s">
        <v>517</v>
      </c>
      <c r="L48" s="5" t="s">
        <v>51</v>
      </c>
      <c r="M48" s="5" t="s">
        <v>79</v>
      </c>
      <c r="N48" s="5" t="s">
        <v>53</v>
      </c>
      <c r="O48" s="5" t="s">
        <v>518</v>
      </c>
      <c r="P48" s="5" t="n">
        <v>1</v>
      </c>
      <c r="Q48" s="5" t="s">
        <v>519</v>
      </c>
      <c r="R48" s="5" t="s">
        <v>520</v>
      </c>
      <c r="S48" s="5" t="s">
        <v>521</v>
      </c>
      <c r="T48" s="5" t="s">
        <v>84</v>
      </c>
      <c r="U48" s="5" t="s">
        <v>58</v>
      </c>
      <c r="V48" s="5" t="s">
        <v>51</v>
      </c>
    </row>
    <row r="49" customFormat="false" ht="22.35" hidden="false" customHeight="false" outlineLevel="0" collapsed="false">
      <c r="A49" s="5" t="s">
        <v>522</v>
      </c>
      <c r="B49" s="5" t="s">
        <v>473</v>
      </c>
      <c r="C49" s="5" t="s">
        <v>474</v>
      </c>
      <c r="D49" s="5" t="s">
        <v>523</v>
      </c>
      <c r="E49" s="5" t="s">
        <v>524</v>
      </c>
      <c r="F49" s="5" t="s">
        <v>525</v>
      </c>
      <c r="G49" s="5" t="s">
        <v>478</v>
      </c>
      <c r="H49" s="5" t="s">
        <v>75</v>
      </c>
      <c r="I49" s="5" t="s">
        <v>76</v>
      </c>
      <c r="J49" s="5" t="s">
        <v>526</v>
      </c>
      <c r="K49" s="5" t="s">
        <v>527</v>
      </c>
      <c r="L49" s="5" t="s">
        <v>51</v>
      </c>
      <c r="M49" s="5" t="s">
        <v>79</v>
      </c>
      <c r="N49" s="5" t="s">
        <v>53</v>
      </c>
      <c r="O49" s="5" t="s">
        <v>528</v>
      </c>
      <c r="P49" s="5" t="n">
        <v>1</v>
      </c>
      <c r="Q49" s="5" t="s">
        <v>529</v>
      </c>
      <c r="R49" s="5" t="s">
        <v>530</v>
      </c>
      <c r="S49" s="5" t="s">
        <v>531</v>
      </c>
      <c r="T49" s="5" t="s">
        <v>84</v>
      </c>
      <c r="U49" s="5" t="s">
        <v>532</v>
      </c>
      <c r="V49" s="5" t="s">
        <v>51</v>
      </c>
    </row>
    <row r="50" customFormat="false" ht="32.8" hidden="false" customHeight="false" outlineLevel="0" collapsed="false">
      <c r="A50" s="5" t="s">
        <v>533</v>
      </c>
      <c r="B50" s="5" t="s">
        <v>534</v>
      </c>
      <c r="C50" s="5" t="s">
        <v>535</v>
      </c>
      <c r="D50" s="5" t="s">
        <v>536</v>
      </c>
      <c r="E50" s="5" t="s">
        <v>537</v>
      </c>
      <c r="F50" s="5" t="s">
        <v>538</v>
      </c>
      <c r="G50" s="5" t="s">
        <v>539</v>
      </c>
      <c r="H50" s="5" t="s">
        <v>540</v>
      </c>
      <c r="I50" s="5" t="s">
        <v>196</v>
      </c>
      <c r="J50" s="5" t="s">
        <v>541</v>
      </c>
      <c r="K50" s="5" t="s">
        <v>542</v>
      </c>
      <c r="L50" s="5" t="s">
        <v>51</v>
      </c>
      <c r="M50" s="5" t="s">
        <v>79</v>
      </c>
      <c r="N50" s="5" t="s">
        <v>53</v>
      </c>
      <c r="O50" s="5" t="s">
        <v>105</v>
      </c>
      <c r="P50" s="5" t="n">
        <v>1</v>
      </c>
      <c r="Q50" s="5" t="s">
        <v>543</v>
      </c>
      <c r="R50" s="5" t="s">
        <v>544</v>
      </c>
      <c r="S50" s="5" t="s">
        <v>545</v>
      </c>
      <c r="T50" s="5" t="s">
        <v>84</v>
      </c>
      <c r="U50" s="5" t="s">
        <v>58</v>
      </c>
      <c r="V50" s="5" t="s">
        <v>51</v>
      </c>
    </row>
    <row r="51" customFormat="false" ht="22.35" hidden="false" customHeight="false" outlineLevel="0" collapsed="false">
      <c r="A51" s="5" t="s">
        <v>546</v>
      </c>
      <c r="B51" s="5" t="s">
        <v>534</v>
      </c>
      <c r="C51" s="5" t="s">
        <v>535</v>
      </c>
      <c r="D51" s="5" t="s">
        <v>547</v>
      </c>
      <c r="E51" s="5" t="s">
        <v>548</v>
      </c>
      <c r="F51" s="5" t="s">
        <v>549</v>
      </c>
      <c r="G51" s="5" t="s">
        <v>539</v>
      </c>
      <c r="H51" s="5" t="s">
        <v>533</v>
      </c>
      <c r="I51" s="5" t="s">
        <v>196</v>
      </c>
      <c r="J51" s="5" t="s">
        <v>550</v>
      </c>
      <c r="K51" s="5" t="s">
        <v>551</v>
      </c>
      <c r="L51" s="5" t="s">
        <v>51</v>
      </c>
      <c r="M51" s="5" t="s">
        <v>79</v>
      </c>
      <c r="N51" s="5" t="s">
        <v>53</v>
      </c>
      <c r="O51" s="5" t="s">
        <v>67</v>
      </c>
      <c r="P51" s="5" t="n">
        <v>1</v>
      </c>
      <c r="Q51" s="5" t="s">
        <v>552</v>
      </c>
      <c r="R51" s="5" t="s">
        <v>553</v>
      </c>
      <c r="S51" s="5" t="s">
        <v>554</v>
      </c>
      <c r="T51" s="5" t="s">
        <v>84</v>
      </c>
      <c r="U51" s="5" t="s">
        <v>58</v>
      </c>
      <c r="V51" s="5" t="s">
        <v>51</v>
      </c>
    </row>
    <row r="52" customFormat="false" ht="22.35" hidden="false" customHeight="false" outlineLevel="0" collapsed="false">
      <c r="A52" s="5" t="s">
        <v>555</v>
      </c>
      <c r="B52" s="5" t="s">
        <v>534</v>
      </c>
      <c r="C52" s="5" t="s">
        <v>535</v>
      </c>
      <c r="D52" s="5" t="s">
        <v>556</v>
      </c>
      <c r="E52" s="5" t="s">
        <v>557</v>
      </c>
      <c r="F52" s="5" t="s">
        <v>558</v>
      </c>
      <c r="G52" s="5" t="s">
        <v>539</v>
      </c>
      <c r="H52" s="5" t="s">
        <v>533</v>
      </c>
      <c r="I52" s="5" t="s">
        <v>196</v>
      </c>
      <c r="J52" s="5" t="s">
        <v>559</v>
      </c>
      <c r="K52" s="5" t="s">
        <v>560</v>
      </c>
      <c r="L52" s="5" t="s">
        <v>84</v>
      </c>
      <c r="M52" s="5" t="s">
        <v>79</v>
      </c>
      <c r="N52" s="5" t="s">
        <v>53</v>
      </c>
      <c r="O52" s="5" t="s">
        <v>105</v>
      </c>
      <c r="P52" s="5" t="n">
        <v>1</v>
      </c>
      <c r="Q52" s="5" t="s">
        <v>561</v>
      </c>
      <c r="R52" s="5" t="s">
        <v>562</v>
      </c>
      <c r="S52" s="5" t="s">
        <v>563</v>
      </c>
      <c r="T52" s="5" t="s">
        <v>84</v>
      </c>
      <c r="U52" s="5" t="s">
        <v>58</v>
      </c>
      <c r="V52" s="5" t="s">
        <v>51</v>
      </c>
    </row>
    <row r="53" customFormat="false" ht="32.8" hidden="false" customHeight="false" outlineLevel="0" collapsed="false">
      <c r="A53" s="5" t="s">
        <v>564</v>
      </c>
      <c r="B53" s="5" t="s">
        <v>534</v>
      </c>
      <c r="C53" s="5" t="s">
        <v>535</v>
      </c>
      <c r="D53" s="5" t="s">
        <v>565</v>
      </c>
      <c r="E53" s="5" t="s">
        <v>566</v>
      </c>
      <c r="F53" s="5" t="s">
        <v>567</v>
      </c>
      <c r="G53" s="5" t="s">
        <v>539</v>
      </c>
      <c r="H53" s="5" t="s">
        <v>533</v>
      </c>
      <c r="I53" s="5" t="s">
        <v>568</v>
      </c>
      <c r="J53" s="5" t="s">
        <v>569</v>
      </c>
      <c r="K53" s="5" t="s">
        <v>570</v>
      </c>
      <c r="L53" s="5" t="s">
        <v>51</v>
      </c>
      <c r="M53" s="5" t="s">
        <v>79</v>
      </c>
      <c r="N53" s="5" t="s">
        <v>53</v>
      </c>
      <c r="O53" s="5" t="s">
        <v>105</v>
      </c>
      <c r="P53" s="5" t="n">
        <v>1</v>
      </c>
      <c r="Q53" s="5" t="s">
        <v>571</v>
      </c>
      <c r="R53" s="5" t="s">
        <v>572</v>
      </c>
      <c r="S53" s="5" t="s">
        <v>573</v>
      </c>
      <c r="T53" s="5" t="s">
        <v>84</v>
      </c>
      <c r="U53" s="5" t="s">
        <v>58</v>
      </c>
      <c r="V53" s="5" t="s">
        <v>51</v>
      </c>
    </row>
    <row r="54" customFormat="false" ht="22.35" hidden="false" customHeight="false" outlineLevel="0" collapsed="false">
      <c r="A54" s="5" t="s">
        <v>574</v>
      </c>
      <c r="B54" s="5" t="s">
        <v>534</v>
      </c>
      <c r="C54" s="5" t="s">
        <v>535</v>
      </c>
      <c r="D54" s="5" t="s">
        <v>575</v>
      </c>
      <c r="E54" s="5" t="s">
        <v>576</v>
      </c>
      <c r="F54" s="5" t="s">
        <v>577</v>
      </c>
      <c r="G54" s="5" t="s">
        <v>539</v>
      </c>
      <c r="H54" s="5" t="s">
        <v>564</v>
      </c>
      <c r="I54" s="5" t="s">
        <v>578</v>
      </c>
      <c r="J54" s="5" t="s">
        <v>579</v>
      </c>
      <c r="K54" s="5" t="s">
        <v>580</v>
      </c>
      <c r="L54" s="5" t="s">
        <v>51</v>
      </c>
      <c r="M54" s="5" t="s">
        <v>79</v>
      </c>
      <c r="N54" s="5" t="s">
        <v>164</v>
      </c>
      <c r="O54" s="5" t="s">
        <v>361</v>
      </c>
      <c r="P54" s="5" t="n">
        <v>3</v>
      </c>
      <c r="Q54" s="5" t="s">
        <v>581</v>
      </c>
      <c r="R54" s="5" t="s">
        <v>582</v>
      </c>
      <c r="S54" s="5" t="s">
        <v>583</v>
      </c>
      <c r="T54" s="5" t="s">
        <v>84</v>
      </c>
      <c r="U54" s="5" t="s">
        <v>58</v>
      </c>
      <c r="V54" s="5" t="s">
        <v>51</v>
      </c>
    </row>
    <row r="55" customFormat="false" ht="22.35" hidden="false" customHeight="false" outlineLevel="0" collapsed="false">
      <c r="A55" s="5" t="s">
        <v>584</v>
      </c>
      <c r="B55" s="5" t="s">
        <v>534</v>
      </c>
      <c r="C55" s="5" t="s">
        <v>535</v>
      </c>
      <c r="D55" s="5" t="s">
        <v>585</v>
      </c>
      <c r="E55" s="5" t="s">
        <v>586</v>
      </c>
      <c r="F55" s="5" t="s">
        <v>587</v>
      </c>
      <c r="G55" s="5" t="s">
        <v>539</v>
      </c>
      <c r="H55" s="5" t="s">
        <v>533</v>
      </c>
      <c r="I55" s="5" t="s">
        <v>196</v>
      </c>
      <c r="J55" s="5" t="s">
        <v>588</v>
      </c>
      <c r="K55" s="5" t="s">
        <v>589</v>
      </c>
      <c r="L55" s="5" t="s">
        <v>51</v>
      </c>
      <c r="M55" s="5" t="s">
        <v>79</v>
      </c>
      <c r="N55" s="5" t="s">
        <v>53</v>
      </c>
      <c r="O55" s="5" t="s">
        <v>105</v>
      </c>
      <c r="P55" s="5" t="n">
        <v>1</v>
      </c>
      <c r="Q55" s="5" t="s">
        <v>590</v>
      </c>
      <c r="R55" s="5" t="s">
        <v>591</v>
      </c>
      <c r="S55" s="5" t="s">
        <v>592</v>
      </c>
      <c r="T55" s="5" t="s">
        <v>84</v>
      </c>
      <c r="U55" s="5" t="s">
        <v>58</v>
      </c>
      <c r="V55" s="5" t="s">
        <v>51</v>
      </c>
    </row>
    <row r="56" customFormat="false" ht="22.35" hidden="false" customHeight="false" outlineLevel="0" collapsed="false">
      <c r="A56" s="5" t="s">
        <v>593</v>
      </c>
      <c r="B56" s="5" t="s">
        <v>534</v>
      </c>
      <c r="C56" s="5" t="s">
        <v>535</v>
      </c>
      <c r="D56" s="5" t="s">
        <v>594</v>
      </c>
      <c r="E56" s="5" t="s">
        <v>595</v>
      </c>
      <c r="F56" s="5" t="s">
        <v>596</v>
      </c>
      <c r="G56" s="5" t="s">
        <v>539</v>
      </c>
      <c r="H56" s="5" t="s">
        <v>597</v>
      </c>
      <c r="I56" s="5" t="s">
        <v>196</v>
      </c>
      <c r="J56" s="5" t="s">
        <v>598</v>
      </c>
      <c r="K56" s="5" t="s">
        <v>599</v>
      </c>
      <c r="L56" s="5" t="s">
        <v>51</v>
      </c>
      <c r="M56" s="5" t="s">
        <v>79</v>
      </c>
      <c r="N56" s="5" t="s">
        <v>53</v>
      </c>
      <c r="O56" s="5" t="s">
        <v>600</v>
      </c>
      <c r="P56" s="5" t="n">
        <v>2</v>
      </c>
      <c r="Q56" s="5" t="s">
        <v>601</v>
      </c>
      <c r="R56" s="5" t="s">
        <v>602</v>
      </c>
      <c r="S56" s="5" t="s">
        <v>603</v>
      </c>
      <c r="T56" s="5" t="s">
        <v>84</v>
      </c>
      <c r="U56" s="5" t="s">
        <v>58</v>
      </c>
      <c r="V56" s="5" t="s">
        <v>51</v>
      </c>
    </row>
    <row r="57" customFormat="false" ht="22.35" hidden="false" customHeight="false" outlineLevel="0" collapsed="false">
      <c r="A57" s="5" t="s">
        <v>604</v>
      </c>
      <c r="B57" s="5" t="s">
        <v>534</v>
      </c>
      <c r="C57" s="5" t="s">
        <v>535</v>
      </c>
      <c r="D57" s="5" t="s">
        <v>605</v>
      </c>
      <c r="E57" s="5" t="s">
        <v>606</v>
      </c>
      <c r="F57" s="5" t="s">
        <v>607</v>
      </c>
      <c r="G57" s="5" t="s">
        <v>539</v>
      </c>
      <c r="H57" s="5" t="s">
        <v>546</v>
      </c>
      <c r="I57" s="5" t="s">
        <v>608</v>
      </c>
      <c r="J57" s="5" t="s">
        <v>609</v>
      </c>
      <c r="K57" s="5" t="s">
        <v>610</v>
      </c>
      <c r="L57" s="5" t="s">
        <v>51</v>
      </c>
      <c r="M57" s="5" t="s">
        <v>79</v>
      </c>
      <c r="N57" s="5" t="s">
        <v>53</v>
      </c>
      <c r="O57" s="5" t="s">
        <v>67</v>
      </c>
      <c r="P57" s="5" t="n">
        <v>1</v>
      </c>
      <c r="Q57" s="5" t="s">
        <v>611</v>
      </c>
      <c r="R57" s="5" t="s">
        <v>612</v>
      </c>
      <c r="S57" s="5" t="s">
        <v>613</v>
      </c>
      <c r="T57" s="5" t="s">
        <v>84</v>
      </c>
      <c r="U57" s="5" t="s">
        <v>58</v>
      </c>
      <c r="V57" s="5" t="s">
        <v>51</v>
      </c>
    </row>
    <row r="58" customFormat="false" ht="22.35" hidden="false" customHeight="false" outlineLevel="0" collapsed="false">
      <c r="A58" s="5" t="s">
        <v>614</v>
      </c>
      <c r="B58" s="5" t="s">
        <v>615</v>
      </c>
      <c r="C58" s="5" t="s">
        <v>616</v>
      </c>
      <c r="D58" s="5" t="s">
        <v>617</v>
      </c>
      <c r="E58" s="5" t="s">
        <v>618</v>
      </c>
      <c r="F58" s="5" t="s">
        <v>619</v>
      </c>
      <c r="G58" s="5" t="s">
        <v>620</v>
      </c>
      <c r="H58" s="5" t="s">
        <v>593</v>
      </c>
      <c r="I58" s="5" t="s">
        <v>196</v>
      </c>
      <c r="J58" s="5" t="s">
        <v>621</v>
      </c>
      <c r="K58" s="5" t="s">
        <v>622</v>
      </c>
      <c r="L58" s="5" t="s">
        <v>51</v>
      </c>
      <c r="M58" s="5" t="s">
        <v>52</v>
      </c>
      <c r="N58" s="5" t="s">
        <v>53</v>
      </c>
      <c r="O58" s="5" t="s">
        <v>623</v>
      </c>
      <c r="P58" s="5" t="n">
        <v>1</v>
      </c>
      <c r="Q58" s="5" t="s">
        <v>624</v>
      </c>
      <c r="R58" s="5" t="s">
        <v>625</v>
      </c>
      <c r="S58" s="5" t="s">
        <v>626</v>
      </c>
      <c r="T58" s="5" t="s">
        <v>84</v>
      </c>
      <c r="U58" s="5" t="s">
        <v>58</v>
      </c>
      <c r="V58" s="5" t="s">
        <v>51</v>
      </c>
    </row>
    <row r="59" customFormat="false" ht="22.35" hidden="false" customHeight="false" outlineLevel="0" collapsed="false">
      <c r="A59" s="5" t="s">
        <v>627</v>
      </c>
      <c r="B59" s="5" t="s">
        <v>615</v>
      </c>
      <c r="C59" s="5" t="s">
        <v>616</v>
      </c>
      <c r="D59" s="5" t="s">
        <v>628</v>
      </c>
      <c r="E59" s="5" t="s">
        <v>629</v>
      </c>
      <c r="F59" s="5" t="s">
        <v>630</v>
      </c>
      <c r="G59" s="5" t="s">
        <v>620</v>
      </c>
      <c r="H59" s="5" t="s">
        <v>75</v>
      </c>
      <c r="I59" s="5" t="s">
        <v>196</v>
      </c>
      <c r="J59" s="5" t="s">
        <v>631</v>
      </c>
      <c r="K59" s="5" t="s">
        <v>632</v>
      </c>
      <c r="L59" s="5" t="s">
        <v>51</v>
      </c>
      <c r="M59" s="5" t="s">
        <v>52</v>
      </c>
      <c r="N59" s="5" t="s">
        <v>53</v>
      </c>
      <c r="O59" s="5" t="s">
        <v>633</v>
      </c>
      <c r="P59" s="5" t="n">
        <v>1</v>
      </c>
      <c r="Q59" s="5" t="s">
        <v>634</v>
      </c>
      <c r="R59" s="5" t="s">
        <v>635</v>
      </c>
      <c r="S59" s="5" t="s">
        <v>636</v>
      </c>
      <c r="T59" s="5" t="s">
        <v>84</v>
      </c>
      <c r="U59" s="5" t="s">
        <v>58</v>
      </c>
      <c r="V59" s="5" t="s">
        <v>51</v>
      </c>
    </row>
    <row r="60" customFormat="false" ht="22.35" hidden="false" customHeight="false" outlineLevel="0" collapsed="false">
      <c r="A60" s="5" t="s">
        <v>637</v>
      </c>
      <c r="B60" s="5" t="s">
        <v>615</v>
      </c>
      <c r="C60" s="5" t="s">
        <v>616</v>
      </c>
      <c r="D60" s="5" t="s">
        <v>638</v>
      </c>
      <c r="E60" s="5" t="s">
        <v>639</v>
      </c>
      <c r="F60" s="5" t="s">
        <v>640</v>
      </c>
      <c r="G60" s="5" t="s">
        <v>620</v>
      </c>
      <c r="H60" s="5" t="s">
        <v>641</v>
      </c>
      <c r="I60" s="5" t="s">
        <v>196</v>
      </c>
      <c r="J60" s="5" t="s">
        <v>642</v>
      </c>
      <c r="K60" s="5" t="s">
        <v>643</v>
      </c>
      <c r="L60" s="5" t="s">
        <v>51</v>
      </c>
      <c r="M60" s="5" t="s">
        <v>79</v>
      </c>
      <c r="N60" s="5" t="s">
        <v>53</v>
      </c>
      <c r="O60" s="5" t="s">
        <v>105</v>
      </c>
      <c r="P60" s="5" t="n">
        <v>1</v>
      </c>
      <c r="Q60" s="5" t="s">
        <v>644</v>
      </c>
      <c r="R60" s="5" t="s">
        <v>645</v>
      </c>
      <c r="S60" s="5" t="s">
        <v>646</v>
      </c>
      <c r="T60" s="5" t="s">
        <v>84</v>
      </c>
      <c r="U60" s="5" t="s">
        <v>58</v>
      </c>
      <c r="V60" s="5" t="s">
        <v>51</v>
      </c>
    </row>
    <row r="61" customFormat="false" ht="22.35" hidden="false" customHeight="false" outlineLevel="0" collapsed="false">
      <c r="A61" s="5" t="s">
        <v>647</v>
      </c>
      <c r="B61" s="5" t="s">
        <v>615</v>
      </c>
      <c r="C61" s="5" t="s">
        <v>616</v>
      </c>
      <c r="D61" s="5" t="s">
        <v>648</v>
      </c>
      <c r="E61" s="5" t="s">
        <v>649</v>
      </c>
      <c r="F61" s="5" t="s">
        <v>650</v>
      </c>
      <c r="G61" s="5" t="s">
        <v>620</v>
      </c>
      <c r="H61" s="5" t="s">
        <v>533</v>
      </c>
      <c r="I61" s="5" t="s">
        <v>196</v>
      </c>
      <c r="J61" s="5" t="s">
        <v>648</v>
      </c>
      <c r="K61" s="5" t="s">
        <v>651</v>
      </c>
      <c r="L61" s="5" t="s">
        <v>51</v>
      </c>
      <c r="M61" s="5" t="s">
        <v>52</v>
      </c>
      <c r="N61" s="5" t="s">
        <v>53</v>
      </c>
      <c r="O61" s="5" t="s">
        <v>652</v>
      </c>
      <c r="P61" s="5" t="n">
        <v>1</v>
      </c>
      <c r="Q61" s="5" t="s">
        <v>653</v>
      </c>
      <c r="R61" s="5" t="s">
        <v>654</v>
      </c>
      <c r="S61" s="5" t="s">
        <v>655</v>
      </c>
      <c r="T61" s="5" t="s">
        <v>84</v>
      </c>
      <c r="U61" s="5" t="s">
        <v>58</v>
      </c>
      <c r="V61" s="5" t="s">
        <v>51</v>
      </c>
    </row>
    <row r="62" customFormat="false" ht="22.35" hidden="false" customHeight="false" outlineLevel="0" collapsed="false">
      <c r="A62" s="5" t="s">
        <v>656</v>
      </c>
      <c r="B62" s="5" t="s">
        <v>615</v>
      </c>
      <c r="C62" s="5" t="s">
        <v>616</v>
      </c>
      <c r="D62" s="5" t="s">
        <v>657</v>
      </c>
      <c r="E62" s="5" t="s">
        <v>658</v>
      </c>
      <c r="F62" s="5" t="s">
        <v>659</v>
      </c>
      <c r="G62" s="5" t="s">
        <v>660</v>
      </c>
      <c r="H62" s="5" t="s">
        <v>75</v>
      </c>
      <c r="I62" s="5" t="s">
        <v>196</v>
      </c>
      <c r="J62" s="5" t="s">
        <v>661</v>
      </c>
      <c r="K62" s="5" t="s">
        <v>662</v>
      </c>
      <c r="L62" s="5" t="s">
        <v>663</v>
      </c>
      <c r="M62" s="5" t="s">
        <v>408</v>
      </c>
      <c r="N62" s="5" t="s">
        <v>164</v>
      </c>
      <c r="O62" s="5" t="s">
        <v>361</v>
      </c>
      <c r="P62" s="5" t="n">
        <v>2</v>
      </c>
      <c r="Q62" s="5" t="s">
        <v>664</v>
      </c>
      <c r="R62" s="5" t="s">
        <v>665</v>
      </c>
      <c r="S62" s="5" t="s">
        <v>666</v>
      </c>
      <c r="T62" s="5" t="s">
        <v>180</v>
      </c>
      <c r="U62" s="5" t="s">
        <v>58</v>
      </c>
      <c r="V62" s="5" t="s">
        <v>51</v>
      </c>
    </row>
    <row r="63" customFormat="false" ht="22.35" hidden="false" customHeight="false" outlineLevel="0" collapsed="false">
      <c r="A63" s="5" t="s">
        <v>667</v>
      </c>
      <c r="B63" s="5" t="s">
        <v>668</v>
      </c>
      <c r="C63" s="5" t="s">
        <v>669</v>
      </c>
      <c r="D63" s="5" t="s">
        <v>670</v>
      </c>
      <c r="E63" s="5" t="s">
        <v>671</v>
      </c>
      <c r="F63" s="5" t="s">
        <v>672</v>
      </c>
      <c r="G63" s="5" t="s">
        <v>669</v>
      </c>
      <c r="H63" s="5" t="s">
        <v>213</v>
      </c>
      <c r="I63" s="5" t="s">
        <v>673</v>
      </c>
      <c r="J63" s="5" t="s">
        <v>674</v>
      </c>
      <c r="K63" s="5" t="s">
        <v>675</v>
      </c>
      <c r="L63" s="5" t="s">
        <v>51</v>
      </c>
      <c r="M63" s="5" t="s">
        <v>52</v>
      </c>
      <c r="N63" s="5" t="s">
        <v>53</v>
      </c>
      <c r="O63" s="5" t="s">
        <v>361</v>
      </c>
      <c r="P63" s="5" t="n">
        <v>2</v>
      </c>
      <c r="Q63" s="5" t="s">
        <v>676</v>
      </c>
      <c r="R63" s="5" t="s">
        <v>677</v>
      </c>
      <c r="S63" s="5" t="s">
        <v>678</v>
      </c>
      <c r="T63" s="5" t="s">
        <v>84</v>
      </c>
      <c r="U63" s="5" t="s">
        <v>58</v>
      </c>
      <c r="V63" s="5" t="s">
        <v>51</v>
      </c>
    </row>
    <row r="64" customFormat="false" ht="22.35" hidden="false" customHeight="false" outlineLevel="0" collapsed="false">
      <c r="A64" s="5" t="s">
        <v>679</v>
      </c>
      <c r="B64" s="5" t="s">
        <v>668</v>
      </c>
      <c r="C64" s="5" t="s">
        <v>669</v>
      </c>
      <c r="D64" s="5" t="s">
        <v>680</v>
      </c>
      <c r="E64" s="5" t="s">
        <v>681</v>
      </c>
      <c r="F64" s="5" t="s">
        <v>682</v>
      </c>
      <c r="G64" s="5" t="s">
        <v>669</v>
      </c>
      <c r="H64" s="5" t="s">
        <v>213</v>
      </c>
      <c r="I64" s="5" t="s">
        <v>683</v>
      </c>
      <c r="J64" s="5" t="s">
        <v>684</v>
      </c>
      <c r="K64" s="5" t="s">
        <v>685</v>
      </c>
      <c r="L64" s="5" t="s">
        <v>51</v>
      </c>
      <c r="M64" s="5" t="s">
        <v>52</v>
      </c>
      <c r="N64" s="5" t="s">
        <v>53</v>
      </c>
      <c r="O64" s="5" t="s">
        <v>238</v>
      </c>
      <c r="P64" s="5" t="n">
        <v>2</v>
      </c>
      <c r="Q64" s="5" t="s">
        <v>686</v>
      </c>
      <c r="R64" s="5" t="s">
        <v>687</v>
      </c>
      <c r="S64" s="5" t="s">
        <v>688</v>
      </c>
      <c r="T64" s="5" t="s">
        <v>84</v>
      </c>
      <c r="U64" s="5" t="s">
        <v>58</v>
      </c>
      <c r="V64" s="5" t="s">
        <v>51</v>
      </c>
    </row>
    <row r="65" customFormat="false" ht="22.35" hidden="false" customHeight="false" outlineLevel="0" collapsed="false">
      <c r="A65" s="5" t="s">
        <v>689</v>
      </c>
      <c r="B65" s="5" t="s">
        <v>668</v>
      </c>
      <c r="C65" s="5" t="s">
        <v>669</v>
      </c>
      <c r="D65" s="5" t="s">
        <v>690</v>
      </c>
      <c r="E65" s="5" t="s">
        <v>691</v>
      </c>
      <c r="F65" s="5" t="s">
        <v>692</v>
      </c>
      <c r="G65" s="5" t="s">
        <v>669</v>
      </c>
      <c r="H65" s="5" t="s">
        <v>254</v>
      </c>
      <c r="I65" s="5" t="s">
        <v>693</v>
      </c>
      <c r="J65" s="5" t="s">
        <v>694</v>
      </c>
      <c r="K65" s="5" t="s">
        <v>370</v>
      </c>
      <c r="L65" s="5" t="s">
        <v>51</v>
      </c>
      <c r="M65" s="5" t="s">
        <v>52</v>
      </c>
      <c r="N65" s="5" t="s">
        <v>164</v>
      </c>
      <c r="O65" s="5" t="s">
        <v>379</v>
      </c>
      <c r="P65" s="5" t="n">
        <v>4</v>
      </c>
      <c r="Q65" s="5" t="s">
        <v>695</v>
      </c>
      <c r="R65" s="5" t="s">
        <v>696</v>
      </c>
      <c r="S65" s="5" t="s">
        <v>697</v>
      </c>
      <c r="T65" s="5" t="s">
        <v>180</v>
      </c>
      <c r="U65" s="5" t="s">
        <v>532</v>
      </c>
      <c r="V65" s="5" t="s">
        <v>51</v>
      </c>
    </row>
    <row r="66" customFormat="false" ht="22.35" hidden="false" customHeight="false" outlineLevel="0" collapsed="false">
      <c r="A66" s="5" t="s">
        <v>698</v>
      </c>
      <c r="B66" s="5" t="s">
        <v>668</v>
      </c>
      <c r="C66" s="5" t="s">
        <v>669</v>
      </c>
      <c r="D66" s="5" t="s">
        <v>699</v>
      </c>
      <c r="E66" s="5" t="s">
        <v>700</v>
      </c>
      <c r="F66" s="5" t="s">
        <v>701</v>
      </c>
      <c r="G66" s="5" t="s">
        <v>669</v>
      </c>
      <c r="H66" s="5" t="s">
        <v>702</v>
      </c>
      <c r="I66" s="5" t="s">
        <v>568</v>
      </c>
      <c r="J66" s="5" t="s">
        <v>152</v>
      </c>
      <c r="K66" s="5" t="s">
        <v>703</v>
      </c>
      <c r="L66" s="5" t="s">
        <v>51</v>
      </c>
      <c r="M66" s="5" t="s">
        <v>79</v>
      </c>
      <c r="N66" s="5" t="s">
        <v>164</v>
      </c>
      <c r="O66" s="5" t="s">
        <v>238</v>
      </c>
      <c r="P66" s="5" t="n">
        <v>2</v>
      </c>
      <c r="Q66" s="5" t="s">
        <v>704</v>
      </c>
      <c r="R66" s="5" t="s">
        <v>705</v>
      </c>
      <c r="S66" s="5" t="s">
        <v>706</v>
      </c>
      <c r="T66" s="5" t="s">
        <v>84</v>
      </c>
      <c r="U66" s="5" t="s">
        <v>58</v>
      </c>
      <c r="V66" s="5" t="s">
        <v>51</v>
      </c>
    </row>
    <row r="67" customFormat="false" ht="32.8" hidden="false" customHeight="false" outlineLevel="0" collapsed="false">
      <c r="A67" s="5" t="s">
        <v>707</v>
      </c>
      <c r="B67" s="5" t="s">
        <v>668</v>
      </c>
      <c r="C67" s="5" t="s">
        <v>669</v>
      </c>
      <c r="D67" s="5" t="s">
        <v>708</v>
      </c>
      <c r="E67" s="5" t="s">
        <v>709</v>
      </c>
      <c r="F67" s="5" t="s">
        <v>710</v>
      </c>
      <c r="G67" s="5" t="s">
        <v>669</v>
      </c>
      <c r="H67" s="5" t="s">
        <v>263</v>
      </c>
      <c r="I67" s="5" t="s">
        <v>196</v>
      </c>
      <c r="J67" s="5" t="s">
        <v>711</v>
      </c>
      <c r="K67" s="5" t="s">
        <v>685</v>
      </c>
      <c r="L67" s="5" t="s">
        <v>84</v>
      </c>
      <c r="M67" s="5" t="s">
        <v>79</v>
      </c>
      <c r="N67" s="5" t="s">
        <v>53</v>
      </c>
      <c r="O67" s="5" t="s">
        <v>67</v>
      </c>
      <c r="P67" s="5" t="n">
        <v>1</v>
      </c>
      <c r="Q67" s="5" t="s">
        <v>712</v>
      </c>
      <c r="R67" s="5" t="s">
        <v>713</v>
      </c>
      <c r="S67" s="5" t="s">
        <v>714</v>
      </c>
      <c r="T67" s="5" t="s">
        <v>84</v>
      </c>
      <c r="U67" s="5" t="s">
        <v>58</v>
      </c>
      <c r="V67" s="5" t="s">
        <v>51</v>
      </c>
    </row>
    <row r="68" customFormat="false" ht="22.35" hidden="false" customHeight="false" outlineLevel="0" collapsed="false">
      <c r="A68" s="5" t="s">
        <v>715</v>
      </c>
      <c r="B68" s="5" t="s">
        <v>716</v>
      </c>
      <c r="C68" s="5" t="s">
        <v>717</v>
      </c>
      <c r="D68" s="5" t="s">
        <v>718</v>
      </c>
      <c r="E68" s="5" t="s">
        <v>719</v>
      </c>
      <c r="F68" s="5" t="s">
        <v>720</v>
      </c>
      <c r="G68" s="5" t="s">
        <v>669</v>
      </c>
      <c r="H68" s="5" t="s">
        <v>203</v>
      </c>
      <c r="I68" s="5" t="s">
        <v>721</v>
      </c>
      <c r="J68" s="5" t="s">
        <v>722</v>
      </c>
      <c r="K68" s="5" t="s">
        <v>685</v>
      </c>
      <c r="L68" s="5" t="s">
        <v>51</v>
      </c>
      <c r="M68" s="5" t="s">
        <v>52</v>
      </c>
      <c r="N68" s="5" t="s">
        <v>53</v>
      </c>
      <c r="O68" s="5" t="s">
        <v>67</v>
      </c>
      <c r="P68" s="5" t="n">
        <v>1</v>
      </c>
      <c r="Q68" s="5" t="s">
        <v>723</v>
      </c>
      <c r="R68" s="5" t="s">
        <v>724</v>
      </c>
      <c r="S68" s="5" t="s">
        <v>725</v>
      </c>
      <c r="T68" s="5" t="s">
        <v>84</v>
      </c>
      <c r="U68" s="5" t="s">
        <v>58</v>
      </c>
      <c r="V68" s="5" t="s">
        <v>51</v>
      </c>
    </row>
    <row r="69" customFormat="false" ht="22.35" hidden="false" customHeight="false" outlineLevel="0" collapsed="false">
      <c r="A69" s="5" t="s">
        <v>726</v>
      </c>
      <c r="B69" s="5" t="s">
        <v>716</v>
      </c>
      <c r="C69" s="5" t="s">
        <v>717</v>
      </c>
      <c r="D69" s="5" t="s">
        <v>727</v>
      </c>
      <c r="E69" s="5" t="s">
        <v>728</v>
      </c>
      <c r="F69" s="5" t="s">
        <v>729</v>
      </c>
      <c r="G69" s="5" t="s">
        <v>669</v>
      </c>
      <c r="H69" s="5" t="s">
        <v>715</v>
      </c>
      <c r="I69" s="5" t="s">
        <v>683</v>
      </c>
      <c r="J69" s="5" t="s">
        <v>730</v>
      </c>
      <c r="K69" s="5" t="s">
        <v>731</v>
      </c>
      <c r="L69" s="5" t="s">
        <v>51</v>
      </c>
      <c r="M69" s="5" t="s">
        <v>52</v>
      </c>
      <c r="N69" s="5" t="s">
        <v>164</v>
      </c>
      <c r="O69" s="5" t="s">
        <v>732</v>
      </c>
      <c r="P69" s="5" t="n">
        <v>3</v>
      </c>
      <c r="Q69" s="5" t="s">
        <v>733</v>
      </c>
      <c r="R69" s="5" t="s">
        <v>734</v>
      </c>
      <c r="S69" s="5" t="s">
        <v>735</v>
      </c>
      <c r="T69" s="5" t="s">
        <v>84</v>
      </c>
      <c r="U69" s="5" t="s">
        <v>58</v>
      </c>
      <c r="V69" s="5" t="s">
        <v>51</v>
      </c>
    </row>
    <row r="70" customFormat="false" ht="22.35" hidden="false" customHeight="false" outlineLevel="0" collapsed="false">
      <c r="A70" s="5" t="s">
        <v>736</v>
      </c>
      <c r="B70" s="5" t="s">
        <v>716</v>
      </c>
      <c r="C70" s="5" t="s">
        <v>717</v>
      </c>
      <c r="D70" s="5" t="s">
        <v>737</v>
      </c>
      <c r="E70" s="5" t="s">
        <v>738</v>
      </c>
      <c r="F70" s="5" t="s">
        <v>739</v>
      </c>
      <c r="G70" s="5" t="s">
        <v>669</v>
      </c>
      <c r="H70" s="5" t="s">
        <v>715</v>
      </c>
      <c r="I70" s="5" t="s">
        <v>693</v>
      </c>
      <c r="J70" s="5" t="s">
        <v>740</v>
      </c>
      <c r="K70" s="5" t="s">
        <v>370</v>
      </c>
      <c r="L70" s="5" t="s">
        <v>51</v>
      </c>
      <c r="M70" s="5" t="s">
        <v>66</v>
      </c>
      <c r="N70" s="5" t="s">
        <v>53</v>
      </c>
      <c r="O70" s="5" t="s">
        <v>238</v>
      </c>
      <c r="P70" s="5" t="n">
        <v>2</v>
      </c>
      <c r="Q70" s="5" t="s">
        <v>741</v>
      </c>
      <c r="R70" s="5" t="s">
        <v>742</v>
      </c>
      <c r="S70" s="5" t="s">
        <v>743</v>
      </c>
      <c r="T70" s="5" t="s">
        <v>51</v>
      </c>
      <c r="U70" s="5" t="s">
        <v>532</v>
      </c>
      <c r="V70" s="5" t="s">
        <v>51</v>
      </c>
    </row>
    <row r="71" customFormat="false" ht="22.35" hidden="false" customHeight="false" outlineLevel="0" collapsed="false">
      <c r="A71" s="5" t="s">
        <v>744</v>
      </c>
      <c r="B71" s="5" t="s">
        <v>745</v>
      </c>
      <c r="C71" s="5" t="s">
        <v>746</v>
      </c>
      <c r="D71" s="5" t="s">
        <v>747</v>
      </c>
      <c r="E71" s="5" t="s">
        <v>748</v>
      </c>
      <c r="F71" s="5" t="s">
        <v>749</v>
      </c>
      <c r="G71" s="5" t="s">
        <v>693</v>
      </c>
      <c r="H71" s="5" t="s">
        <v>593</v>
      </c>
      <c r="I71" s="5" t="s">
        <v>750</v>
      </c>
      <c r="J71" s="5" t="s">
        <v>751</v>
      </c>
      <c r="K71" s="5" t="s">
        <v>752</v>
      </c>
      <c r="L71" s="5" t="s">
        <v>51</v>
      </c>
      <c r="M71" s="5" t="s">
        <v>79</v>
      </c>
      <c r="N71" s="5" t="s">
        <v>53</v>
      </c>
      <c r="O71" s="5" t="s">
        <v>67</v>
      </c>
      <c r="P71" s="5" t="n">
        <v>1</v>
      </c>
      <c r="Q71" s="5" t="s">
        <v>753</v>
      </c>
      <c r="R71" s="5" t="s">
        <v>754</v>
      </c>
      <c r="S71" s="5" t="s">
        <v>755</v>
      </c>
      <c r="T71" s="5" t="s">
        <v>84</v>
      </c>
      <c r="U71" s="5" t="s">
        <v>58</v>
      </c>
      <c r="V71" s="5" t="s">
        <v>51</v>
      </c>
    </row>
    <row r="72" customFormat="false" ht="22.35" hidden="false" customHeight="false" outlineLevel="0" collapsed="false">
      <c r="A72" s="5" t="s">
        <v>756</v>
      </c>
      <c r="B72" s="5" t="s">
        <v>745</v>
      </c>
      <c r="C72" s="5" t="s">
        <v>746</v>
      </c>
      <c r="D72" s="5" t="s">
        <v>757</v>
      </c>
      <c r="E72" s="5" t="s">
        <v>758</v>
      </c>
      <c r="F72" s="5" t="s">
        <v>759</v>
      </c>
      <c r="G72" s="5" t="s">
        <v>693</v>
      </c>
      <c r="H72" s="5" t="s">
        <v>744</v>
      </c>
      <c r="I72" s="5" t="s">
        <v>196</v>
      </c>
      <c r="J72" s="5" t="s">
        <v>760</v>
      </c>
      <c r="K72" s="5" t="s">
        <v>761</v>
      </c>
      <c r="L72" s="5" t="s">
        <v>84</v>
      </c>
      <c r="M72" s="5" t="s">
        <v>79</v>
      </c>
      <c r="N72" s="5" t="s">
        <v>53</v>
      </c>
      <c r="O72" s="5" t="s">
        <v>67</v>
      </c>
      <c r="P72" s="5" t="n">
        <v>1</v>
      </c>
      <c r="Q72" s="5" t="s">
        <v>762</v>
      </c>
      <c r="R72" s="5" t="s">
        <v>763</v>
      </c>
      <c r="S72" s="5" t="s">
        <v>764</v>
      </c>
      <c r="T72" s="5" t="s">
        <v>84</v>
      </c>
      <c r="U72" s="5" t="s">
        <v>58</v>
      </c>
      <c r="V72" s="5" t="s">
        <v>51</v>
      </c>
    </row>
    <row r="73" customFormat="false" ht="22.35" hidden="false" customHeight="false" outlineLevel="0" collapsed="false">
      <c r="A73" s="5" t="s">
        <v>765</v>
      </c>
      <c r="B73" s="5" t="s">
        <v>745</v>
      </c>
      <c r="C73" s="5" t="s">
        <v>746</v>
      </c>
      <c r="D73" s="5" t="s">
        <v>766</v>
      </c>
      <c r="E73" s="5" t="s">
        <v>767</v>
      </c>
      <c r="F73" s="5" t="s">
        <v>768</v>
      </c>
      <c r="G73" s="5" t="s">
        <v>750</v>
      </c>
      <c r="H73" s="5" t="s">
        <v>744</v>
      </c>
      <c r="I73" s="5" t="s">
        <v>750</v>
      </c>
      <c r="J73" s="5" t="s">
        <v>769</v>
      </c>
      <c r="K73" s="5" t="s">
        <v>770</v>
      </c>
      <c r="L73" s="5" t="s">
        <v>84</v>
      </c>
      <c r="M73" s="5" t="s">
        <v>408</v>
      </c>
      <c r="N73" s="5" t="s">
        <v>164</v>
      </c>
      <c r="O73" s="5" t="s">
        <v>771</v>
      </c>
      <c r="P73" s="5" t="n">
        <v>7</v>
      </c>
      <c r="Q73" s="5" t="s">
        <v>772</v>
      </c>
      <c r="R73" s="5" t="s">
        <v>773</v>
      </c>
      <c r="S73" s="5" t="s">
        <v>492</v>
      </c>
      <c r="T73" s="5" t="s">
        <v>180</v>
      </c>
      <c r="U73" s="5" t="s">
        <v>774</v>
      </c>
      <c r="V73" s="5" t="s">
        <v>51</v>
      </c>
    </row>
    <row r="74" customFormat="false" ht="22.35" hidden="false" customHeight="false" outlineLevel="0" collapsed="false">
      <c r="A74" s="5" t="s">
        <v>775</v>
      </c>
      <c r="B74" s="5" t="s">
        <v>745</v>
      </c>
      <c r="C74" s="5" t="s">
        <v>746</v>
      </c>
      <c r="D74" s="5" t="s">
        <v>776</v>
      </c>
      <c r="E74" s="5" t="s">
        <v>777</v>
      </c>
      <c r="F74" s="5" t="s">
        <v>778</v>
      </c>
      <c r="G74" s="5" t="s">
        <v>750</v>
      </c>
      <c r="H74" s="5" t="s">
        <v>744</v>
      </c>
      <c r="I74" s="5" t="s">
        <v>750</v>
      </c>
      <c r="J74" s="5" t="s">
        <v>779</v>
      </c>
      <c r="K74" s="5" t="s">
        <v>780</v>
      </c>
      <c r="L74" s="5" t="s">
        <v>84</v>
      </c>
      <c r="M74" s="5" t="s">
        <v>408</v>
      </c>
      <c r="N74" s="5" t="s">
        <v>781</v>
      </c>
      <c r="O74" s="5" t="s">
        <v>782</v>
      </c>
      <c r="P74" s="5" t="n">
        <v>20</v>
      </c>
      <c r="Q74" s="5" t="s">
        <v>783</v>
      </c>
      <c r="R74" s="5" t="s">
        <v>784</v>
      </c>
      <c r="S74" s="5" t="s">
        <v>785</v>
      </c>
      <c r="T74" s="5" t="s">
        <v>180</v>
      </c>
      <c r="U74" s="5" t="s">
        <v>774</v>
      </c>
      <c r="V74" s="5" t="s">
        <v>51</v>
      </c>
    </row>
    <row r="75" customFormat="false" ht="22.35" hidden="false" customHeight="false" outlineLevel="0" collapsed="false">
      <c r="A75" s="5" t="s">
        <v>786</v>
      </c>
      <c r="B75" s="5" t="s">
        <v>787</v>
      </c>
      <c r="C75" s="5" t="s">
        <v>788</v>
      </c>
      <c r="D75" s="5" t="s">
        <v>789</v>
      </c>
      <c r="E75" s="5" t="s">
        <v>790</v>
      </c>
      <c r="F75" s="5" t="s">
        <v>791</v>
      </c>
      <c r="G75" s="5" t="s">
        <v>693</v>
      </c>
      <c r="H75" s="5" t="s">
        <v>272</v>
      </c>
      <c r="I75" s="5" t="s">
        <v>196</v>
      </c>
      <c r="J75" s="5" t="s">
        <v>792</v>
      </c>
      <c r="K75" s="5" t="s">
        <v>793</v>
      </c>
      <c r="L75" s="5" t="s">
        <v>51</v>
      </c>
      <c r="M75" s="5" t="s">
        <v>79</v>
      </c>
      <c r="N75" s="5" t="s">
        <v>53</v>
      </c>
      <c r="O75" s="5" t="s">
        <v>67</v>
      </c>
      <c r="P75" s="5" t="n">
        <v>1</v>
      </c>
      <c r="Q75" s="5" t="s">
        <v>794</v>
      </c>
      <c r="R75" s="5" t="s">
        <v>795</v>
      </c>
      <c r="S75" s="5" t="s">
        <v>796</v>
      </c>
      <c r="T75" s="5" t="s">
        <v>84</v>
      </c>
      <c r="U75" s="5" t="s">
        <v>58</v>
      </c>
      <c r="V75" s="5" t="s">
        <v>51</v>
      </c>
    </row>
    <row r="76" customFormat="false" ht="22.35" hidden="false" customHeight="false" outlineLevel="0" collapsed="false">
      <c r="A76" s="5" t="s">
        <v>797</v>
      </c>
      <c r="B76" s="5" t="s">
        <v>787</v>
      </c>
      <c r="C76" s="5" t="s">
        <v>788</v>
      </c>
      <c r="D76" s="5" t="s">
        <v>798</v>
      </c>
      <c r="E76" s="5" t="s">
        <v>799</v>
      </c>
      <c r="F76" s="5" t="s">
        <v>800</v>
      </c>
      <c r="G76" s="5" t="s">
        <v>693</v>
      </c>
      <c r="H76" s="5" t="s">
        <v>786</v>
      </c>
      <c r="I76" s="5" t="s">
        <v>196</v>
      </c>
      <c r="J76" s="5" t="s">
        <v>801</v>
      </c>
      <c r="K76" s="5" t="s">
        <v>752</v>
      </c>
      <c r="L76" s="5" t="s">
        <v>51</v>
      </c>
      <c r="M76" s="5" t="s">
        <v>79</v>
      </c>
      <c r="N76" s="5" t="s">
        <v>53</v>
      </c>
      <c r="O76" s="5" t="s">
        <v>802</v>
      </c>
      <c r="P76" s="5" t="n">
        <v>2</v>
      </c>
      <c r="Q76" s="5" t="s">
        <v>803</v>
      </c>
      <c r="R76" s="5" t="s">
        <v>804</v>
      </c>
      <c r="S76" s="5" t="s">
        <v>655</v>
      </c>
      <c r="T76" s="5" t="s">
        <v>84</v>
      </c>
      <c r="U76" s="5" t="s">
        <v>58</v>
      </c>
      <c r="V76" s="5" t="s">
        <v>51</v>
      </c>
    </row>
    <row r="77" customFormat="false" ht="22.35" hidden="false" customHeight="false" outlineLevel="0" collapsed="false">
      <c r="A77" s="5" t="s">
        <v>805</v>
      </c>
      <c r="B77" s="5" t="s">
        <v>787</v>
      </c>
      <c r="C77" s="5" t="s">
        <v>788</v>
      </c>
      <c r="D77" s="5" t="s">
        <v>806</v>
      </c>
      <c r="E77" s="5" t="s">
        <v>807</v>
      </c>
      <c r="F77" s="5" t="s">
        <v>808</v>
      </c>
      <c r="G77" s="5" t="s">
        <v>693</v>
      </c>
      <c r="H77" s="5" t="s">
        <v>797</v>
      </c>
      <c r="I77" s="5" t="s">
        <v>196</v>
      </c>
      <c r="J77" s="5" t="s">
        <v>809</v>
      </c>
      <c r="K77" s="5" t="s">
        <v>810</v>
      </c>
      <c r="L77" s="5" t="s">
        <v>51</v>
      </c>
      <c r="M77" s="5" t="s">
        <v>52</v>
      </c>
      <c r="N77" s="5" t="s">
        <v>53</v>
      </c>
      <c r="O77" s="5" t="s">
        <v>811</v>
      </c>
      <c r="P77" s="5" t="n">
        <v>1</v>
      </c>
      <c r="Q77" s="5" t="s">
        <v>812</v>
      </c>
      <c r="R77" s="5" t="s">
        <v>813</v>
      </c>
      <c r="S77" s="5" t="s">
        <v>814</v>
      </c>
      <c r="T77" s="5" t="s">
        <v>84</v>
      </c>
      <c r="U77" s="5" t="s">
        <v>58</v>
      </c>
      <c r="V77" s="5" t="s">
        <v>51</v>
      </c>
    </row>
    <row r="78" customFormat="false" ht="22.35" hidden="false" customHeight="false" outlineLevel="0" collapsed="false">
      <c r="A78" s="5" t="s">
        <v>815</v>
      </c>
      <c r="B78" s="5" t="s">
        <v>787</v>
      </c>
      <c r="C78" s="5" t="s">
        <v>788</v>
      </c>
      <c r="D78" s="5" t="s">
        <v>816</v>
      </c>
      <c r="E78" s="5" t="s">
        <v>817</v>
      </c>
      <c r="F78" s="5" t="s">
        <v>818</v>
      </c>
      <c r="G78" s="5" t="s">
        <v>693</v>
      </c>
      <c r="H78" s="5" t="s">
        <v>797</v>
      </c>
      <c r="I78" s="5" t="s">
        <v>693</v>
      </c>
      <c r="J78" s="5" t="s">
        <v>819</v>
      </c>
      <c r="K78" s="5" t="s">
        <v>820</v>
      </c>
      <c r="L78" s="5" t="s">
        <v>84</v>
      </c>
      <c r="M78" s="5" t="s">
        <v>79</v>
      </c>
      <c r="N78" s="5" t="s">
        <v>53</v>
      </c>
      <c r="O78" s="5" t="s">
        <v>176</v>
      </c>
      <c r="P78" s="5" t="n">
        <v>1</v>
      </c>
      <c r="Q78" s="5" t="s">
        <v>821</v>
      </c>
      <c r="R78" s="5" t="s">
        <v>822</v>
      </c>
      <c r="S78" s="5" t="s">
        <v>823</v>
      </c>
      <c r="T78" s="5" t="s">
        <v>84</v>
      </c>
      <c r="U78" s="5" t="s">
        <v>58</v>
      </c>
      <c r="V78" s="5" t="s">
        <v>51</v>
      </c>
    </row>
    <row r="79" customFormat="false" ht="22.35" hidden="false" customHeight="false" outlineLevel="0" collapsed="false">
      <c r="A79" s="5" t="s">
        <v>824</v>
      </c>
      <c r="B79" s="5" t="s">
        <v>787</v>
      </c>
      <c r="C79" s="5" t="s">
        <v>788</v>
      </c>
      <c r="D79" s="5" t="s">
        <v>825</v>
      </c>
      <c r="E79" s="5" t="s">
        <v>826</v>
      </c>
      <c r="F79" s="5" t="s">
        <v>827</v>
      </c>
      <c r="G79" s="5" t="s">
        <v>693</v>
      </c>
      <c r="H79" s="5" t="s">
        <v>815</v>
      </c>
      <c r="I79" s="5" t="s">
        <v>828</v>
      </c>
      <c r="J79" s="5" t="s">
        <v>829</v>
      </c>
      <c r="K79" s="5" t="s">
        <v>830</v>
      </c>
      <c r="L79" s="5" t="s">
        <v>51</v>
      </c>
      <c r="M79" s="5" t="s">
        <v>79</v>
      </c>
      <c r="N79" s="5" t="s">
        <v>53</v>
      </c>
      <c r="O79" s="5" t="s">
        <v>831</v>
      </c>
      <c r="P79" s="5" t="n">
        <v>3</v>
      </c>
      <c r="Q79" s="5" t="s">
        <v>832</v>
      </c>
      <c r="R79" s="5" t="s">
        <v>833</v>
      </c>
      <c r="S79" s="5" t="s">
        <v>834</v>
      </c>
      <c r="T79" s="5" t="s">
        <v>84</v>
      </c>
      <c r="U79" s="5" t="s">
        <v>58</v>
      </c>
      <c r="V79" s="5" t="s">
        <v>84</v>
      </c>
    </row>
    <row r="80" customFormat="false" ht="22.35" hidden="false" customHeight="false" outlineLevel="0" collapsed="false">
      <c r="A80" s="5" t="s">
        <v>835</v>
      </c>
      <c r="B80" s="5" t="s">
        <v>787</v>
      </c>
      <c r="C80" s="5" t="s">
        <v>788</v>
      </c>
      <c r="D80" s="5" t="s">
        <v>836</v>
      </c>
      <c r="E80" s="5" t="s">
        <v>837</v>
      </c>
      <c r="F80" s="5" t="s">
        <v>838</v>
      </c>
      <c r="G80" s="5" t="s">
        <v>693</v>
      </c>
      <c r="H80" s="5" t="s">
        <v>805</v>
      </c>
      <c r="I80" s="5" t="s">
        <v>196</v>
      </c>
      <c r="J80" s="5" t="s">
        <v>839</v>
      </c>
      <c r="K80" s="5" t="s">
        <v>840</v>
      </c>
      <c r="L80" s="5" t="s">
        <v>51</v>
      </c>
      <c r="M80" s="5" t="s">
        <v>79</v>
      </c>
      <c r="N80" s="5" t="s">
        <v>53</v>
      </c>
      <c r="O80" s="5" t="s">
        <v>518</v>
      </c>
      <c r="P80" s="5" t="n">
        <v>1</v>
      </c>
      <c r="Q80" s="5" t="s">
        <v>841</v>
      </c>
      <c r="R80" s="5" t="s">
        <v>842</v>
      </c>
      <c r="S80" s="5" t="s">
        <v>843</v>
      </c>
      <c r="T80" s="5" t="s">
        <v>84</v>
      </c>
      <c r="U80" s="5" t="s">
        <v>58</v>
      </c>
      <c r="V80" s="5" t="s">
        <v>51</v>
      </c>
    </row>
    <row r="81" customFormat="false" ht="22.35" hidden="false" customHeight="false" outlineLevel="0" collapsed="false">
      <c r="A81" s="5" t="s">
        <v>844</v>
      </c>
      <c r="B81" s="5" t="s">
        <v>845</v>
      </c>
      <c r="C81" s="5" t="s">
        <v>846</v>
      </c>
      <c r="D81" s="5" t="s">
        <v>847</v>
      </c>
      <c r="E81" s="5" t="s">
        <v>848</v>
      </c>
      <c r="F81" s="5" t="s">
        <v>849</v>
      </c>
      <c r="G81" s="5" t="s">
        <v>693</v>
      </c>
      <c r="H81" s="5" t="s">
        <v>850</v>
      </c>
      <c r="I81" s="5" t="s">
        <v>693</v>
      </c>
      <c r="J81" s="5" t="s">
        <v>851</v>
      </c>
      <c r="K81" s="5" t="s">
        <v>852</v>
      </c>
      <c r="L81" s="5" t="s">
        <v>84</v>
      </c>
      <c r="M81" s="5" t="s">
        <v>408</v>
      </c>
      <c r="N81" s="5" t="s">
        <v>164</v>
      </c>
      <c r="O81" s="5" t="s">
        <v>853</v>
      </c>
      <c r="P81" s="5" t="n">
        <v>6</v>
      </c>
      <c r="Q81" s="5" t="s">
        <v>854</v>
      </c>
      <c r="R81" s="5" t="s">
        <v>855</v>
      </c>
      <c r="S81" s="5" t="s">
        <v>856</v>
      </c>
      <c r="T81" s="5" t="s">
        <v>180</v>
      </c>
      <c r="U81" s="5" t="s">
        <v>774</v>
      </c>
      <c r="V81" s="5" t="s">
        <v>51</v>
      </c>
    </row>
    <row r="82" customFormat="false" ht="22.35" hidden="false" customHeight="false" outlineLevel="0" collapsed="false">
      <c r="A82" s="5" t="s">
        <v>857</v>
      </c>
      <c r="B82" s="5" t="s">
        <v>845</v>
      </c>
      <c r="C82" s="5" t="s">
        <v>846</v>
      </c>
      <c r="D82" s="5" t="s">
        <v>858</v>
      </c>
      <c r="E82" s="5" t="s">
        <v>859</v>
      </c>
      <c r="F82" s="5" t="s">
        <v>860</v>
      </c>
      <c r="G82" s="5" t="s">
        <v>693</v>
      </c>
      <c r="H82" s="5" t="s">
        <v>844</v>
      </c>
      <c r="I82" s="5" t="s">
        <v>693</v>
      </c>
      <c r="J82" s="5" t="s">
        <v>861</v>
      </c>
      <c r="K82" s="5" t="s">
        <v>685</v>
      </c>
      <c r="L82" s="5" t="s">
        <v>84</v>
      </c>
      <c r="M82" s="5" t="s">
        <v>408</v>
      </c>
      <c r="N82" s="5" t="s">
        <v>164</v>
      </c>
      <c r="O82" s="5" t="s">
        <v>862</v>
      </c>
      <c r="P82" s="5" t="n">
        <v>3</v>
      </c>
      <c r="Q82" s="5" t="s">
        <v>863</v>
      </c>
      <c r="R82" s="5" t="s">
        <v>864</v>
      </c>
      <c r="S82" s="5" t="s">
        <v>865</v>
      </c>
      <c r="T82" s="5" t="s">
        <v>180</v>
      </c>
      <c r="U82" s="5" t="s">
        <v>774</v>
      </c>
      <c r="V82" s="5" t="s">
        <v>51</v>
      </c>
    </row>
    <row r="83" customFormat="false" ht="22.35" hidden="false" customHeight="false" outlineLevel="0" collapsed="false">
      <c r="A83" s="5" t="s">
        <v>866</v>
      </c>
      <c r="B83" s="5" t="s">
        <v>845</v>
      </c>
      <c r="C83" s="5" t="s">
        <v>846</v>
      </c>
      <c r="D83" s="5" t="s">
        <v>867</v>
      </c>
      <c r="E83" s="5" t="s">
        <v>868</v>
      </c>
      <c r="F83" s="5" t="s">
        <v>869</v>
      </c>
      <c r="G83" s="5" t="s">
        <v>693</v>
      </c>
      <c r="H83" s="5" t="s">
        <v>870</v>
      </c>
      <c r="I83" s="5" t="s">
        <v>693</v>
      </c>
      <c r="J83" s="5" t="s">
        <v>871</v>
      </c>
      <c r="K83" s="5" t="s">
        <v>872</v>
      </c>
      <c r="L83" s="5" t="s">
        <v>51</v>
      </c>
      <c r="M83" s="5" t="s">
        <v>52</v>
      </c>
      <c r="N83" s="5" t="s">
        <v>53</v>
      </c>
      <c r="O83" s="5" t="s">
        <v>873</v>
      </c>
      <c r="P83" s="5" t="n">
        <v>1</v>
      </c>
      <c r="Q83" s="5" t="s">
        <v>874</v>
      </c>
      <c r="R83" s="5" t="s">
        <v>875</v>
      </c>
      <c r="S83" s="5" t="s">
        <v>876</v>
      </c>
      <c r="T83" s="5" t="s">
        <v>180</v>
      </c>
      <c r="U83" s="5" t="s">
        <v>532</v>
      </c>
      <c r="V83" s="5" t="s">
        <v>51</v>
      </c>
    </row>
    <row r="84" customFormat="false" ht="22.35" hidden="false" customHeight="false" outlineLevel="0" collapsed="false">
      <c r="A84" s="5" t="s">
        <v>877</v>
      </c>
      <c r="B84" s="5" t="s">
        <v>845</v>
      </c>
      <c r="C84" s="5" t="s">
        <v>846</v>
      </c>
      <c r="D84" s="5" t="s">
        <v>878</v>
      </c>
      <c r="E84" s="5" t="s">
        <v>879</v>
      </c>
      <c r="F84" s="5" t="s">
        <v>880</v>
      </c>
      <c r="G84" s="5" t="s">
        <v>693</v>
      </c>
      <c r="H84" s="5" t="s">
        <v>881</v>
      </c>
      <c r="I84" s="5" t="s">
        <v>721</v>
      </c>
      <c r="J84" s="5" t="s">
        <v>882</v>
      </c>
      <c r="K84" s="5" t="s">
        <v>685</v>
      </c>
      <c r="L84" s="5" t="s">
        <v>51</v>
      </c>
      <c r="M84" s="5" t="s">
        <v>52</v>
      </c>
      <c r="N84" s="5" t="s">
        <v>53</v>
      </c>
      <c r="O84" s="5" t="s">
        <v>238</v>
      </c>
      <c r="P84" s="5" t="n">
        <v>2</v>
      </c>
      <c r="Q84" s="5" t="s">
        <v>883</v>
      </c>
      <c r="R84" s="5" t="s">
        <v>884</v>
      </c>
      <c r="S84" s="5" t="s">
        <v>885</v>
      </c>
      <c r="T84" s="5" t="s">
        <v>84</v>
      </c>
      <c r="U84" s="5" t="s">
        <v>58</v>
      </c>
      <c r="V84" s="5" t="s">
        <v>51</v>
      </c>
    </row>
    <row r="85" customFormat="false" ht="22.35" hidden="false" customHeight="false" outlineLevel="0" collapsed="false">
      <c r="A85" s="5" t="s">
        <v>886</v>
      </c>
      <c r="B85" s="5" t="s">
        <v>845</v>
      </c>
      <c r="C85" s="5" t="s">
        <v>846</v>
      </c>
      <c r="D85" s="5" t="s">
        <v>887</v>
      </c>
      <c r="E85" s="5" t="s">
        <v>888</v>
      </c>
      <c r="F85" s="5" t="s">
        <v>889</v>
      </c>
      <c r="G85" s="5" t="s">
        <v>693</v>
      </c>
      <c r="H85" s="5" t="s">
        <v>890</v>
      </c>
      <c r="I85" s="5" t="s">
        <v>673</v>
      </c>
      <c r="J85" s="5" t="s">
        <v>891</v>
      </c>
      <c r="K85" s="5" t="s">
        <v>892</v>
      </c>
      <c r="L85" s="5" t="s">
        <v>84</v>
      </c>
      <c r="M85" s="5" t="s">
        <v>79</v>
      </c>
      <c r="N85" s="5" t="s">
        <v>53</v>
      </c>
      <c r="O85" s="5" t="s">
        <v>238</v>
      </c>
      <c r="P85" s="5" t="n">
        <v>2</v>
      </c>
      <c r="Q85" s="5" t="s">
        <v>893</v>
      </c>
      <c r="R85" s="5" t="s">
        <v>894</v>
      </c>
      <c r="S85" s="5" t="s">
        <v>895</v>
      </c>
      <c r="T85" s="5" t="s">
        <v>84</v>
      </c>
      <c r="U85" s="5" t="s">
        <v>58</v>
      </c>
      <c r="V85" s="5" t="s">
        <v>51</v>
      </c>
    </row>
    <row r="86" customFormat="false" ht="22.35" hidden="false" customHeight="false" outlineLevel="0" collapsed="false">
      <c r="A86" s="5" t="s">
        <v>896</v>
      </c>
      <c r="B86" s="5" t="s">
        <v>845</v>
      </c>
      <c r="C86" s="5" t="s">
        <v>846</v>
      </c>
      <c r="D86" s="5" t="s">
        <v>897</v>
      </c>
      <c r="E86" s="5" t="s">
        <v>898</v>
      </c>
      <c r="F86" s="5" t="s">
        <v>899</v>
      </c>
      <c r="G86" s="5" t="s">
        <v>693</v>
      </c>
      <c r="H86" s="5" t="s">
        <v>886</v>
      </c>
      <c r="I86" s="5" t="s">
        <v>693</v>
      </c>
      <c r="J86" s="5" t="s">
        <v>900</v>
      </c>
      <c r="K86" s="5" t="s">
        <v>780</v>
      </c>
      <c r="L86" s="5" t="s">
        <v>84</v>
      </c>
      <c r="M86" s="5" t="s">
        <v>408</v>
      </c>
      <c r="N86" s="5" t="s">
        <v>164</v>
      </c>
      <c r="O86" s="5" t="s">
        <v>901</v>
      </c>
      <c r="P86" s="5" t="n">
        <v>5</v>
      </c>
      <c r="Q86" s="5" t="s">
        <v>902</v>
      </c>
      <c r="R86" s="5" t="s">
        <v>903</v>
      </c>
      <c r="S86" s="5" t="s">
        <v>904</v>
      </c>
      <c r="T86" s="5" t="s">
        <v>180</v>
      </c>
      <c r="U86" s="5" t="s">
        <v>774</v>
      </c>
      <c r="V86" s="5" t="s">
        <v>51</v>
      </c>
    </row>
    <row r="87" customFormat="false" ht="22.35" hidden="false" customHeight="false" outlineLevel="0" collapsed="false">
      <c r="A87" s="5" t="s">
        <v>905</v>
      </c>
      <c r="B87" s="5" t="s">
        <v>906</v>
      </c>
      <c r="C87" s="5" t="s">
        <v>907</v>
      </c>
      <c r="D87" s="5" t="s">
        <v>908</v>
      </c>
      <c r="E87" s="5" t="s">
        <v>909</v>
      </c>
      <c r="F87" s="5" t="s">
        <v>910</v>
      </c>
      <c r="G87" s="5" t="s">
        <v>750</v>
      </c>
      <c r="H87" s="5" t="s">
        <v>911</v>
      </c>
      <c r="I87" s="5" t="s">
        <v>750</v>
      </c>
      <c r="J87" s="5" t="s">
        <v>912</v>
      </c>
      <c r="K87" s="5" t="s">
        <v>913</v>
      </c>
      <c r="L87" s="5" t="s">
        <v>51</v>
      </c>
      <c r="M87" s="5" t="s">
        <v>52</v>
      </c>
      <c r="N87" s="5" t="s">
        <v>164</v>
      </c>
      <c r="O87" s="5" t="s">
        <v>361</v>
      </c>
      <c r="P87" s="5" t="n">
        <v>2</v>
      </c>
      <c r="Q87" s="5" t="s">
        <v>914</v>
      </c>
      <c r="R87" s="5" t="s">
        <v>915</v>
      </c>
      <c r="S87" s="5" t="s">
        <v>916</v>
      </c>
      <c r="T87" s="5" t="s">
        <v>84</v>
      </c>
      <c r="U87" s="5" t="s">
        <v>58</v>
      </c>
      <c r="V87" s="5" t="s">
        <v>51</v>
      </c>
    </row>
    <row r="88" customFormat="false" ht="22.35" hidden="false" customHeight="false" outlineLevel="0" collapsed="false">
      <c r="A88" s="5" t="s">
        <v>917</v>
      </c>
      <c r="B88" s="5" t="s">
        <v>906</v>
      </c>
      <c r="C88" s="5" t="s">
        <v>907</v>
      </c>
      <c r="D88" s="5" t="s">
        <v>918</v>
      </c>
      <c r="E88" s="5" t="s">
        <v>919</v>
      </c>
      <c r="F88" s="5" t="s">
        <v>920</v>
      </c>
      <c r="G88" s="5" t="s">
        <v>750</v>
      </c>
      <c r="H88" s="5" t="s">
        <v>254</v>
      </c>
      <c r="I88" s="5" t="s">
        <v>750</v>
      </c>
      <c r="J88" s="5" t="s">
        <v>921</v>
      </c>
      <c r="K88" s="5" t="s">
        <v>922</v>
      </c>
      <c r="L88" s="5" t="s">
        <v>84</v>
      </c>
      <c r="M88" s="5" t="s">
        <v>79</v>
      </c>
      <c r="N88" s="5" t="s">
        <v>164</v>
      </c>
      <c r="O88" s="5" t="s">
        <v>238</v>
      </c>
      <c r="P88" s="5" t="n">
        <v>2</v>
      </c>
      <c r="Q88" s="5" t="s">
        <v>923</v>
      </c>
      <c r="R88" s="5" t="s">
        <v>924</v>
      </c>
      <c r="S88" s="5" t="s">
        <v>925</v>
      </c>
      <c r="T88" s="5" t="s">
        <v>84</v>
      </c>
      <c r="U88" s="5" t="s">
        <v>58</v>
      </c>
      <c r="V88" s="5" t="s">
        <v>51</v>
      </c>
    </row>
    <row r="89" customFormat="false" ht="22.35" hidden="false" customHeight="false" outlineLevel="0" collapsed="false">
      <c r="A89" s="5" t="s">
        <v>926</v>
      </c>
      <c r="B89" s="5" t="s">
        <v>906</v>
      </c>
      <c r="C89" s="5" t="s">
        <v>907</v>
      </c>
      <c r="D89" s="5" t="s">
        <v>927</v>
      </c>
      <c r="E89" s="5" t="s">
        <v>928</v>
      </c>
      <c r="F89" s="5" t="s">
        <v>929</v>
      </c>
      <c r="G89" s="5" t="s">
        <v>750</v>
      </c>
      <c r="H89" s="5" t="s">
        <v>917</v>
      </c>
      <c r="I89" s="5" t="s">
        <v>750</v>
      </c>
      <c r="J89" s="5" t="s">
        <v>930</v>
      </c>
      <c r="K89" s="5" t="s">
        <v>685</v>
      </c>
      <c r="L89" s="5" t="s">
        <v>51</v>
      </c>
      <c r="M89" s="5" t="s">
        <v>52</v>
      </c>
      <c r="N89" s="5" t="s">
        <v>53</v>
      </c>
      <c r="O89" s="5" t="s">
        <v>238</v>
      </c>
      <c r="P89" s="5" t="n">
        <v>2</v>
      </c>
      <c r="Q89" s="5" t="s">
        <v>931</v>
      </c>
      <c r="R89" s="5" t="s">
        <v>932</v>
      </c>
      <c r="S89" s="5" t="s">
        <v>933</v>
      </c>
      <c r="T89" s="5" t="s">
        <v>84</v>
      </c>
      <c r="U89" s="5" t="s">
        <v>58</v>
      </c>
      <c r="V89" s="5" t="s">
        <v>51</v>
      </c>
    </row>
    <row r="90" customFormat="false" ht="22.35" hidden="false" customHeight="false" outlineLevel="0" collapsed="false">
      <c r="A90" s="5" t="s">
        <v>934</v>
      </c>
      <c r="B90" s="5" t="s">
        <v>906</v>
      </c>
      <c r="C90" s="5" t="s">
        <v>907</v>
      </c>
      <c r="D90" s="5" t="s">
        <v>935</v>
      </c>
      <c r="E90" s="5" t="s">
        <v>936</v>
      </c>
      <c r="F90" s="5" t="s">
        <v>937</v>
      </c>
      <c r="G90" s="5" t="s">
        <v>750</v>
      </c>
      <c r="H90" s="5" t="s">
        <v>905</v>
      </c>
      <c r="I90" s="5" t="s">
        <v>938</v>
      </c>
      <c r="J90" s="5" t="s">
        <v>939</v>
      </c>
      <c r="K90" s="5" t="s">
        <v>685</v>
      </c>
      <c r="L90" s="5" t="s">
        <v>51</v>
      </c>
      <c r="M90" s="5" t="s">
        <v>52</v>
      </c>
      <c r="N90" s="5" t="s">
        <v>53</v>
      </c>
      <c r="O90" s="5" t="s">
        <v>67</v>
      </c>
      <c r="P90" s="5" t="n">
        <v>1</v>
      </c>
      <c r="Q90" s="5" t="s">
        <v>940</v>
      </c>
      <c r="R90" s="5" t="s">
        <v>941</v>
      </c>
      <c r="S90" s="5" t="s">
        <v>942</v>
      </c>
      <c r="T90" s="5" t="s">
        <v>84</v>
      </c>
      <c r="U90" s="5" t="s">
        <v>58</v>
      </c>
      <c r="V90" s="5" t="s">
        <v>51</v>
      </c>
    </row>
    <row r="91" customFormat="false" ht="22.35" hidden="false" customHeight="false" outlineLevel="0" collapsed="false">
      <c r="A91" s="5" t="s">
        <v>943</v>
      </c>
      <c r="B91" s="5" t="s">
        <v>944</v>
      </c>
      <c r="C91" s="5" t="s">
        <v>945</v>
      </c>
      <c r="D91" s="5" t="s">
        <v>946</v>
      </c>
      <c r="E91" s="5" t="s">
        <v>947</v>
      </c>
      <c r="F91" s="5" t="s">
        <v>948</v>
      </c>
      <c r="G91" s="5" t="s">
        <v>750</v>
      </c>
      <c r="H91" s="5" t="s">
        <v>926</v>
      </c>
      <c r="I91" s="5" t="s">
        <v>750</v>
      </c>
      <c r="J91" s="5" t="s">
        <v>945</v>
      </c>
      <c r="K91" s="5" t="s">
        <v>949</v>
      </c>
      <c r="L91" s="5" t="s">
        <v>51</v>
      </c>
      <c r="M91" s="5" t="s">
        <v>52</v>
      </c>
      <c r="N91" s="5" t="s">
        <v>164</v>
      </c>
      <c r="O91" s="5" t="s">
        <v>950</v>
      </c>
      <c r="P91" s="5" t="n">
        <v>5</v>
      </c>
      <c r="Q91" s="5" t="s">
        <v>951</v>
      </c>
      <c r="R91" s="5" t="s">
        <v>952</v>
      </c>
      <c r="S91" s="5" t="s">
        <v>953</v>
      </c>
      <c r="T91" s="5" t="s">
        <v>84</v>
      </c>
      <c r="U91" s="5" t="s">
        <v>58</v>
      </c>
      <c r="V91" s="5" t="s">
        <v>51</v>
      </c>
    </row>
    <row r="92" customFormat="false" ht="22.35" hidden="false" customHeight="false" outlineLevel="0" collapsed="false">
      <c r="A92" s="5" t="s">
        <v>954</v>
      </c>
      <c r="B92" s="5" t="s">
        <v>944</v>
      </c>
      <c r="C92" s="5" t="s">
        <v>945</v>
      </c>
      <c r="D92" s="5" t="s">
        <v>955</v>
      </c>
      <c r="E92" s="5" t="s">
        <v>956</v>
      </c>
      <c r="F92" s="5" t="s">
        <v>957</v>
      </c>
      <c r="G92" s="5" t="s">
        <v>750</v>
      </c>
      <c r="H92" s="5" t="s">
        <v>943</v>
      </c>
      <c r="I92" s="5" t="s">
        <v>938</v>
      </c>
      <c r="J92" s="5" t="s">
        <v>958</v>
      </c>
      <c r="K92" s="5" t="s">
        <v>162</v>
      </c>
      <c r="L92" s="5" t="s">
        <v>84</v>
      </c>
      <c r="M92" s="5" t="s">
        <v>52</v>
      </c>
      <c r="N92" s="5" t="s">
        <v>53</v>
      </c>
      <c r="O92" s="5" t="s">
        <v>67</v>
      </c>
      <c r="P92" s="5" t="n">
        <v>1</v>
      </c>
      <c r="Q92" s="5" t="s">
        <v>959</v>
      </c>
      <c r="R92" s="5" t="s">
        <v>960</v>
      </c>
      <c r="S92" s="5" t="s">
        <v>318</v>
      </c>
      <c r="T92" s="5" t="s">
        <v>84</v>
      </c>
      <c r="U92" s="5" t="s">
        <v>58</v>
      </c>
      <c r="V92" s="5" t="s">
        <v>51</v>
      </c>
    </row>
    <row r="93" customFormat="false" ht="22.35" hidden="false" customHeight="false" outlineLevel="0" collapsed="false">
      <c r="A93" s="5" t="s">
        <v>961</v>
      </c>
      <c r="B93" s="5" t="s">
        <v>944</v>
      </c>
      <c r="C93" s="5" t="s">
        <v>945</v>
      </c>
      <c r="D93" s="5" t="s">
        <v>962</v>
      </c>
      <c r="E93" s="5" t="s">
        <v>963</v>
      </c>
      <c r="F93" s="5" t="s">
        <v>964</v>
      </c>
      <c r="G93" s="5" t="s">
        <v>750</v>
      </c>
      <c r="H93" s="5" t="s">
        <v>954</v>
      </c>
      <c r="I93" s="5" t="s">
        <v>750</v>
      </c>
      <c r="J93" s="5" t="s">
        <v>965</v>
      </c>
      <c r="K93" s="5" t="s">
        <v>966</v>
      </c>
      <c r="L93" s="5" t="s">
        <v>84</v>
      </c>
      <c r="M93" s="5" t="s">
        <v>52</v>
      </c>
      <c r="N93" s="5" t="s">
        <v>53</v>
      </c>
      <c r="O93" s="5" t="s">
        <v>361</v>
      </c>
      <c r="P93" s="5" t="n">
        <v>2</v>
      </c>
      <c r="Q93" s="5" t="s">
        <v>967</v>
      </c>
      <c r="R93" s="5" t="s">
        <v>968</v>
      </c>
      <c r="S93" s="5" t="s">
        <v>969</v>
      </c>
      <c r="T93" s="5" t="s">
        <v>84</v>
      </c>
      <c r="U93" s="5" t="s">
        <v>58</v>
      </c>
      <c r="V93" s="5" t="s">
        <v>51</v>
      </c>
    </row>
    <row r="94" customFormat="false" ht="22.35" hidden="false" customHeight="false" outlineLevel="0" collapsed="false">
      <c r="A94" s="5" t="s">
        <v>970</v>
      </c>
      <c r="B94" s="5" t="s">
        <v>971</v>
      </c>
      <c r="C94" s="5" t="s">
        <v>972</v>
      </c>
      <c r="D94" s="5" t="s">
        <v>973</v>
      </c>
      <c r="E94" s="5" t="s">
        <v>974</v>
      </c>
      <c r="F94" s="5" t="s">
        <v>975</v>
      </c>
      <c r="G94" s="5" t="s">
        <v>750</v>
      </c>
      <c r="H94" s="5" t="s">
        <v>744</v>
      </c>
      <c r="I94" s="5" t="s">
        <v>750</v>
      </c>
      <c r="J94" s="5" t="s">
        <v>976</v>
      </c>
      <c r="K94" s="5" t="s">
        <v>949</v>
      </c>
      <c r="L94" s="5" t="s">
        <v>84</v>
      </c>
      <c r="M94" s="5" t="s">
        <v>52</v>
      </c>
      <c r="N94" s="5" t="s">
        <v>53</v>
      </c>
      <c r="O94" s="5" t="s">
        <v>361</v>
      </c>
      <c r="P94" s="5" t="n">
        <v>2</v>
      </c>
      <c r="Q94" s="5" t="s">
        <v>977</v>
      </c>
      <c r="R94" s="5" t="s">
        <v>978</v>
      </c>
      <c r="S94" s="5" t="s">
        <v>979</v>
      </c>
      <c r="T94" s="5" t="s">
        <v>84</v>
      </c>
      <c r="U94" s="5" t="s">
        <v>58</v>
      </c>
      <c r="V94" s="5" t="s">
        <v>51</v>
      </c>
    </row>
    <row r="95" customFormat="false" ht="22.35" hidden="false" customHeight="false" outlineLevel="0" collapsed="false">
      <c r="A95" s="5" t="s">
        <v>881</v>
      </c>
      <c r="B95" s="5" t="s">
        <v>971</v>
      </c>
      <c r="C95" s="5" t="s">
        <v>972</v>
      </c>
      <c r="D95" s="5" t="s">
        <v>980</v>
      </c>
      <c r="E95" s="5" t="s">
        <v>981</v>
      </c>
      <c r="F95" s="5" t="s">
        <v>982</v>
      </c>
      <c r="G95" s="5" t="s">
        <v>750</v>
      </c>
      <c r="H95" s="5" t="s">
        <v>983</v>
      </c>
      <c r="I95" s="5" t="s">
        <v>750</v>
      </c>
      <c r="J95" s="5" t="s">
        <v>984</v>
      </c>
      <c r="K95" s="5" t="s">
        <v>985</v>
      </c>
      <c r="L95" s="5" t="s">
        <v>84</v>
      </c>
      <c r="M95" s="5" t="s">
        <v>79</v>
      </c>
      <c r="N95" s="5" t="s">
        <v>781</v>
      </c>
      <c r="O95" s="5" t="s">
        <v>986</v>
      </c>
      <c r="P95" s="5" t="n">
        <v>10</v>
      </c>
      <c r="Q95" s="5" t="s">
        <v>987</v>
      </c>
      <c r="R95" s="5" t="s">
        <v>988</v>
      </c>
      <c r="S95" s="5" t="s">
        <v>989</v>
      </c>
      <c r="T95" s="5" t="s">
        <v>84</v>
      </c>
      <c r="U95" s="5" t="s">
        <v>58</v>
      </c>
      <c r="V95" s="5" t="s">
        <v>51</v>
      </c>
    </row>
    <row r="96" customFormat="false" ht="22.35" hidden="false" customHeight="false" outlineLevel="0" collapsed="false">
      <c r="A96" s="5" t="s">
        <v>990</v>
      </c>
      <c r="B96" s="5" t="s">
        <v>971</v>
      </c>
      <c r="C96" s="5" t="s">
        <v>972</v>
      </c>
      <c r="D96" s="5" t="s">
        <v>991</v>
      </c>
      <c r="E96" s="5" t="s">
        <v>992</v>
      </c>
      <c r="F96" s="5" t="s">
        <v>993</v>
      </c>
      <c r="G96" s="5" t="s">
        <v>750</v>
      </c>
      <c r="H96" s="5" t="s">
        <v>881</v>
      </c>
      <c r="I96" s="5" t="s">
        <v>750</v>
      </c>
      <c r="J96" s="5" t="s">
        <v>994</v>
      </c>
      <c r="K96" s="5" t="s">
        <v>995</v>
      </c>
      <c r="L96" s="5" t="s">
        <v>84</v>
      </c>
      <c r="M96" s="5" t="s">
        <v>79</v>
      </c>
      <c r="N96" s="5" t="s">
        <v>164</v>
      </c>
      <c r="O96" s="5" t="s">
        <v>996</v>
      </c>
      <c r="P96" s="5" t="n">
        <v>4</v>
      </c>
      <c r="Q96" s="5" t="s">
        <v>997</v>
      </c>
      <c r="R96" s="5" t="s">
        <v>998</v>
      </c>
      <c r="S96" s="5" t="s">
        <v>999</v>
      </c>
      <c r="T96" s="5" t="s">
        <v>84</v>
      </c>
      <c r="U96" s="5" t="s">
        <v>58</v>
      </c>
      <c r="V96" s="5" t="s">
        <v>51</v>
      </c>
    </row>
    <row r="97" customFormat="false" ht="22.35" hidden="false" customHeight="false" outlineLevel="0" collapsed="false">
      <c r="A97" s="5" t="s">
        <v>1000</v>
      </c>
      <c r="B97" s="5" t="s">
        <v>971</v>
      </c>
      <c r="C97" s="5" t="s">
        <v>972</v>
      </c>
      <c r="D97" s="5" t="s">
        <v>1001</v>
      </c>
      <c r="E97" s="5" t="s">
        <v>1002</v>
      </c>
      <c r="F97" s="5" t="s">
        <v>1003</v>
      </c>
      <c r="G97" s="5" t="s">
        <v>750</v>
      </c>
      <c r="H97" s="5" t="s">
        <v>881</v>
      </c>
      <c r="I97" s="5" t="s">
        <v>750</v>
      </c>
      <c r="J97" s="5" t="s">
        <v>1004</v>
      </c>
      <c r="K97" s="5" t="s">
        <v>1005</v>
      </c>
      <c r="L97" s="5" t="s">
        <v>51</v>
      </c>
      <c r="M97" s="5" t="s">
        <v>52</v>
      </c>
      <c r="N97" s="5" t="s">
        <v>164</v>
      </c>
      <c r="O97" s="5" t="s">
        <v>361</v>
      </c>
      <c r="P97" s="5" t="n">
        <v>2</v>
      </c>
      <c r="Q97" s="5" t="s">
        <v>1006</v>
      </c>
      <c r="R97" s="5" t="s">
        <v>1007</v>
      </c>
      <c r="S97" s="5" t="s">
        <v>1008</v>
      </c>
      <c r="T97" s="5" t="s">
        <v>84</v>
      </c>
      <c r="U97" s="5" t="s">
        <v>58</v>
      </c>
      <c r="V97" s="5" t="s">
        <v>51</v>
      </c>
    </row>
    <row r="98" customFormat="false" ht="22.35" hidden="false" customHeight="false" outlineLevel="0" collapsed="false">
      <c r="A98" s="5" t="s">
        <v>1009</v>
      </c>
      <c r="B98" s="5" t="s">
        <v>971</v>
      </c>
      <c r="C98" s="5" t="s">
        <v>972</v>
      </c>
      <c r="D98" s="5" t="s">
        <v>1010</v>
      </c>
      <c r="E98" s="5" t="s">
        <v>1011</v>
      </c>
      <c r="F98" s="5" t="s">
        <v>1012</v>
      </c>
      <c r="G98" s="5" t="s">
        <v>750</v>
      </c>
      <c r="H98" s="5" t="s">
        <v>881</v>
      </c>
      <c r="I98" s="5" t="s">
        <v>750</v>
      </c>
      <c r="J98" s="5" t="s">
        <v>1013</v>
      </c>
      <c r="K98" s="5" t="s">
        <v>1014</v>
      </c>
      <c r="L98" s="5" t="s">
        <v>51</v>
      </c>
      <c r="M98" s="5" t="s">
        <v>79</v>
      </c>
      <c r="N98" s="5" t="s">
        <v>53</v>
      </c>
      <c r="O98" s="5" t="s">
        <v>67</v>
      </c>
      <c r="P98" s="5" t="n">
        <v>1</v>
      </c>
      <c r="Q98" s="5" t="s">
        <v>1015</v>
      </c>
      <c r="R98" s="5" t="s">
        <v>1016</v>
      </c>
      <c r="S98" s="5" t="s">
        <v>1008</v>
      </c>
      <c r="T98" s="5" t="s">
        <v>84</v>
      </c>
      <c r="U98" s="5" t="s">
        <v>58</v>
      </c>
      <c r="V98" s="5" t="s">
        <v>51</v>
      </c>
    </row>
    <row r="99" customFormat="false" ht="22.35" hidden="false" customHeight="false" outlineLevel="0" collapsed="false">
      <c r="A99" s="5" t="s">
        <v>1017</v>
      </c>
      <c r="B99" s="5" t="s">
        <v>971</v>
      </c>
      <c r="C99" s="5" t="s">
        <v>972</v>
      </c>
      <c r="D99" s="5" t="s">
        <v>1018</v>
      </c>
      <c r="E99" s="5" t="s">
        <v>1019</v>
      </c>
      <c r="F99" s="5" t="s">
        <v>1020</v>
      </c>
      <c r="G99" s="5" t="s">
        <v>750</v>
      </c>
      <c r="H99" s="5" t="s">
        <v>990</v>
      </c>
      <c r="I99" s="5" t="s">
        <v>750</v>
      </c>
      <c r="J99" s="5" t="s">
        <v>1021</v>
      </c>
      <c r="K99" s="5" t="s">
        <v>1022</v>
      </c>
      <c r="L99" s="5" t="s">
        <v>51</v>
      </c>
      <c r="M99" s="5" t="s">
        <v>52</v>
      </c>
      <c r="N99" s="5" t="s">
        <v>53</v>
      </c>
      <c r="O99" s="5" t="s">
        <v>238</v>
      </c>
      <c r="P99" s="5" t="n">
        <v>2</v>
      </c>
      <c r="Q99" s="5" t="s">
        <v>1023</v>
      </c>
      <c r="R99" s="5" t="s">
        <v>1024</v>
      </c>
      <c r="S99" s="5" t="s">
        <v>655</v>
      </c>
      <c r="T99" s="5" t="s">
        <v>84</v>
      </c>
      <c r="U99" s="5" t="s">
        <v>58</v>
      </c>
      <c r="V99" s="5" t="s">
        <v>51</v>
      </c>
    </row>
    <row r="100" customFormat="false" ht="22.35" hidden="false" customHeight="false" outlineLevel="0" collapsed="false">
      <c r="A100" s="5" t="s">
        <v>1025</v>
      </c>
      <c r="B100" s="5" t="s">
        <v>1026</v>
      </c>
      <c r="C100" s="5" t="s">
        <v>1027</v>
      </c>
      <c r="D100" s="5" t="s">
        <v>1028</v>
      </c>
      <c r="E100" s="5" t="s">
        <v>1029</v>
      </c>
      <c r="F100" s="5" t="s">
        <v>1030</v>
      </c>
      <c r="G100" s="5" t="s">
        <v>750</v>
      </c>
      <c r="H100" s="5" t="s">
        <v>970</v>
      </c>
      <c r="I100" s="5" t="s">
        <v>750</v>
      </c>
      <c r="J100" s="5" t="s">
        <v>1031</v>
      </c>
      <c r="K100" s="5" t="s">
        <v>1032</v>
      </c>
      <c r="L100" s="5" t="s">
        <v>51</v>
      </c>
      <c r="M100" s="5" t="s">
        <v>52</v>
      </c>
      <c r="N100" s="5" t="s">
        <v>53</v>
      </c>
      <c r="O100" s="5" t="s">
        <v>67</v>
      </c>
      <c r="P100" s="5" t="n">
        <v>1</v>
      </c>
      <c r="Q100" s="5" t="s">
        <v>1033</v>
      </c>
      <c r="R100" s="5" t="s">
        <v>1034</v>
      </c>
      <c r="S100" s="5" t="s">
        <v>1035</v>
      </c>
      <c r="T100" s="5" t="s">
        <v>84</v>
      </c>
      <c r="U100" s="5" t="s">
        <v>58</v>
      </c>
      <c r="V100" s="5" t="s">
        <v>51</v>
      </c>
    </row>
    <row r="101" customFormat="false" ht="22.35" hidden="false" customHeight="false" outlineLevel="0" collapsed="false">
      <c r="A101" s="5" t="s">
        <v>1036</v>
      </c>
      <c r="B101" s="5" t="s">
        <v>1026</v>
      </c>
      <c r="C101" s="5" t="s">
        <v>1027</v>
      </c>
      <c r="D101" s="5" t="s">
        <v>1037</v>
      </c>
      <c r="E101" s="5" t="s">
        <v>1038</v>
      </c>
      <c r="F101" s="5" t="s">
        <v>1039</v>
      </c>
      <c r="G101" s="5" t="s">
        <v>750</v>
      </c>
      <c r="H101" s="5" t="s">
        <v>970</v>
      </c>
      <c r="I101" s="5" t="s">
        <v>750</v>
      </c>
      <c r="J101" s="5" t="s">
        <v>1040</v>
      </c>
      <c r="K101" s="5" t="s">
        <v>770</v>
      </c>
      <c r="L101" s="5" t="s">
        <v>51</v>
      </c>
      <c r="M101" s="5" t="s">
        <v>52</v>
      </c>
      <c r="N101" s="5" t="s">
        <v>53</v>
      </c>
      <c r="O101" s="5" t="s">
        <v>67</v>
      </c>
      <c r="P101" s="5" t="n">
        <v>1</v>
      </c>
      <c r="Q101" s="5" t="s">
        <v>1041</v>
      </c>
      <c r="R101" s="5" t="s">
        <v>1042</v>
      </c>
      <c r="S101" s="5" t="s">
        <v>1043</v>
      </c>
      <c r="T101" s="5" t="s">
        <v>84</v>
      </c>
      <c r="U101" s="5" t="s">
        <v>58</v>
      </c>
      <c r="V101" s="5" t="s">
        <v>51</v>
      </c>
    </row>
    <row r="102" customFormat="false" ht="22.35" hidden="false" customHeight="false" outlineLevel="0" collapsed="false">
      <c r="A102" s="5" t="s">
        <v>1044</v>
      </c>
      <c r="B102" s="5" t="s">
        <v>1026</v>
      </c>
      <c r="C102" s="5" t="s">
        <v>1027</v>
      </c>
      <c r="D102" s="5" t="s">
        <v>1045</v>
      </c>
      <c r="E102" s="5" t="s">
        <v>1046</v>
      </c>
      <c r="F102" s="5" t="s">
        <v>1047</v>
      </c>
      <c r="G102" s="5" t="s">
        <v>750</v>
      </c>
      <c r="H102" s="5" t="s">
        <v>970</v>
      </c>
      <c r="I102" s="5" t="s">
        <v>750</v>
      </c>
      <c r="J102" s="5" t="s">
        <v>1048</v>
      </c>
      <c r="K102" s="5" t="s">
        <v>770</v>
      </c>
      <c r="L102" s="5" t="s">
        <v>51</v>
      </c>
      <c r="M102" s="5" t="s">
        <v>52</v>
      </c>
      <c r="N102" s="5" t="s">
        <v>53</v>
      </c>
      <c r="O102" s="5" t="s">
        <v>67</v>
      </c>
      <c r="P102" s="5" t="n">
        <v>1</v>
      </c>
      <c r="Q102" s="5" t="s">
        <v>1049</v>
      </c>
      <c r="R102" s="5" t="s">
        <v>1050</v>
      </c>
      <c r="S102" s="5" t="s">
        <v>1051</v>
      </c>
      <c r="T102" s="5" t="s">
        <v>84</v>
      </c>
      <c r="U102" s="5" t="s">
        <v>58</v>
      </c>
      <c r="V102" s="5" t="s">
        <v>51</v>
      </c>
    </row>
    <row r="103" customFormat="false" ht="22.35" hidden="false" customHeight="false" outlineLevel="0" collapsed="false">
      <c r="A103" s="5" t="s">
        <v>1052</v>
      </c>
      <c r="B103" s="5" t="s">
        <v>1026</v>
      </c>
      <c r="C103" s="5" t="s">
        <v>1027</v>
      </c>
      <c r="D103" s="5" t="s">
        <v>1053</v>
      </c>
      <c r="E103" s="5" t="s">
        <v>1054</v>
      </c>
      <c r="F103" s="5" t="s">
        <v>1055</v>
      </c>
      <c r="G103" s="5" t="s">
        <v>750</v>
      </c>
      <c r="H103" s="5" t="s">
        <v>1056</v>
      </c>
      <c r="I103" s="5" t="s">
        <v>750</v>
      </c>
      <c r="J103" s="5" t="s">
        <v>1057</v>
      </c>
      <c r="K103" s="5" t="s">
        <v>1058</v>
      </c>
      <c r="L103" s="5" t="s">
        <v>51</v>
      </c>
      <c r="M103" s="5" t="s">
        <v>52</v>
      </c>
      <c r="N103" s="5" t="s">
        <v>164</v>
      </c>
      <c r="O103" s="5" t="s">
        <v>950</v>
      </c>
      <c r="P103" s="5" t="n">
        <v>5</v>
      </c>
      <c r="Q103" s="5" t="s">
        <v>1059</v>
      </c>
      <c r="R103" s="5" t="s">
        <v>1060</v>
      </c>
      <c r="S103" s="5" t="s">
        <v>1035</v>
      </c>
      <c r="T103" s="5" t="s">
        <v>180</v>
      </c>
      <c r="U103" s="5" t="s">
        <v>58</v>
      </c>
      <c r="V103" s="5" t="s">
        <v>51</v>
      </c>
    </row>
    <row r="104" customFormat="false" ht="22.35" hidden="false" customHeight="false" outlineLevel="0" collapsed="false">
      <c r="A104" s="5" t="s">
        <v>1061</v>
      </c>
      <c r="B104" s="5" t="s">
        <v>1026</v>
      </c>
      <c r="C104" s="5" t="s">
        <v>1027</v>
      </c>
      <c r="D104" s="5" t="s">
        <v>1062</v>
      </c>
      <c r="E104" s="5" t="s">
        <v>1063</v>
      </c>
      <c r="F104" s="5" t="s">
        <v>1064</v>
      </c>
      <c r="G104" s="5" t="s">
        <v>750</v>
      </c>
      <c r="H104" s="5" t="s">
        <v>970</v>
      </c>
      <c r="I104" s="5" t="s">
        <v>750</v>
      </c>
      <c r="J104" s="5" t="s">
        <v>1065</v>
      </c>
      <c r="K104" s="5" t="s">
        <v>1066</v>
      </c>
      <c r="L104" s="5" t="s">
        <v>51</v>
      </c>
      <c r="M104" s="5" t="s">
        <v>66</v>
      </c>
      <c r="N104" s="5" t="s">
        <v>53</v>
      </c>
      <c r="O104" s="5" t="s">
        <v>67</v>
      </c>
      <c r="P104" s="5" t="n">
        <v>1</v>
      </c>
      <c r="Q104" s="5" t="s">
        <v>1067</v>
      </c>
      <c r="R104" s="5" t="s">
        <v>1068</v>
      </c>
      <c r="S104" s="5" t="s">
        <v>1069</v>
      </c>
      <c r="T104" s="5" t="s">
        <v>180</v>
      </c>
      <c r="U104" s="5" t="s">
        <v>58</v>
      </c>
      <c r="V104" s="5" t="s">
        <v>51</v>
      </c>
    </row>
    <row r="105" customFormat="false" ht="22.35" hidden="false" customHeight="false" outlineLevel="0" collapsed="false">
      <c r="A105" s="5" t="s">
        <v>1070</v>
      </c>
      <c r="B105" s="5" t="s">
        <v>1071</v>
      </c>
      <c r="C105" s="5" t="s">
        <v>1072</v>
      </c>
      <c r="D105" s="5" t="s">
        <v>1073</v>
      </c>
      <c r="E105" s="5" t="s">
        <v>1074</v>
      </c>
      <c r="F105" s="5" t="s">
        <v>1075</v>
      </c>
      <c r="G105" s="5" t="s">
        <v>750</v>
      </c>
      <c r="H105" s="5" t="s">
        <v>1076</v>
      </c>
      <c r="I105" s="5" t="s">
        <v>750</v>
      </c>
      <c r="J105" s="5" t="s">
        <v>1077</v>
      </c>
      <c r="K105" s="5" t="s">
        <v>398</v>
      </c>
      <c r="L105" s="5" t="s">
        <v>51</v>
      </c>
      <c r="M105" s="5" t="s">
        <v>52</v>
      </c>
      <c r="N105" s="5" t="s">
        <v>53</v>
      </c>
      <c r="O105" s="5" t="s">
        <v>67</v>
      </c>
      <c r="P105" s="5" t="n">
        <v>1</v>
      </c>
      <c r="Q105" s="5" t="s">
        <v>1078</v>
      </c>
      <c r="R105" s="5" t="s">
        <v>1079</v>
      </c>
      <c r="S105" s="5" t="s">
        <v>1080</v>
      </c>
      <c r="T105" s="5" t="s">
        <v>84</v>
      </c>
      <c r="U105" s="5" t="s">
        <v>58</v>
      </c>
      <c r="V105" s="5" t="s">
        <v>51</v>
      </c>
    </row>
    <row r="106" customFormat="false" ht="22.35" hidden="false" customHeight="false" outlineLevel="0" collapsed="false">
      <c r="A106" s="5" t="s">
        <v>1081</v>
      </c>
      <c r="B106" s="5" t="s">
        <v>1071</v>
      </c>
      <c r="C106" s="5" t="s">
        <v>1072</v>
      </c>
      <c r="D106" s="5" t="s">
        <v>1082</v>
      </c>
      <c r="E106" s="5" t="s">
        <v>1083</v>
      </c>
      <c r="F106" s="5" t="s">
        <v>1084</v>
      </c>
      <c r="G106" s="5" t="s">
        <v>750</v>
      </c>
      <c r="H106" s="5" t="s">
        <v>1070</v>
      </c>
      <c r="I106" s="5" t="s">
        <v>196</v>
      </c>
      <c r="J106" s="5" t="s">
        <v>958</v>
      </c>
      <c r="K106" s="5" t="s">
        <v>1085</v>
      </c>
      <c r="L106" s="5" t="s">
        <v>84</v>
      </c>
      <c r="M106" s="5" t="s">
        <v>79</v>
      </c>
      <c r="N106" s="5" t="s">
        <v>53</v>
      </c>
      <c r="O106" s="5" t="s">
        <v>389</v>
      </c>
      <c r="P106" s="5" t="n">
        <v>1</v>
      </c>
      <c r="Q106" s="5" t="s">
        <v>1086</v>
      </c>
      <c r="R106" s="5" t="s">
        <v>1087</v>
      </c>
      <c r="S106" s="5" t="s">
        <v>1088</v>
      </c>
      <c r="T106" s="5" t="s">
        <v>84</v>
      </c>
      <c r="U106" s="5" t="s">
        <v>58</v>
      </c>
      <c r="V106" s="5" t="s">
        <v>51</v>
      </c>
    </row>
    <row r="107" customFormat="false" ht="22.35" hidden="false" customHeight="false" outlineLevel="0" collapsed="false">
      <c r="A107" s="5" t="s">
        <v>1089</v>
      </c>
      <c r="B107" s="5" t="s">
        <v>1071</v>
      </c>
      <c r="C107" s="5" t="s">
        <v>1072</v>
      </c>
      <c r="D107" s="5" t="s">
        <v>1090</v>
      </c>
      <c r="E107" s="5" t="s">
        <v>1091</v>
      </c>
      <c r="F107" s="5" t="s">
        <v>1092</v>
      </c>
      <c r="G107" s="5" t="s">
        <v>750</v>
      </c>
      <c r="H107" s="5" t="s">
        <v>1081</v>
      </c>
      <c r="I107" s="5" t="s">
        <v>750</v>
      </c>
      <c r="J107" s="5" t="s">
        <v>1093</v>
      </c>
      <c r="K107" s="5" t="s">
        <v>407</v>
      </c>
      <c r="L107" s="5" t="s">
        <v>84</v>
      </c>
      <c r="M107" s="5" t="s">
        <v>79</v>
      </c>
      <c r="N107" s="5" t="s">
        <v>164</v>
      </c>
      <c r="O107" s="5" t="s">
        <v>1094</v>
      </c>
      <c r="P107" s="5" t="n">
        <v>4</v>
      </c>
      <c r="Q107" s="5" t="s">
        <v>1095</v>
      </c>
      <c r="R107" s="5" t="s">
        <v>1096</v>
      </c>
      <c r="S107" s="5" t="s">
        <v>492</v>
      </c>
      <c r="T107" s="5" t="s">
        <v>84</v>
      </c>
      <c r="U107" s="5" t="s">
        <v>58</v>
      </c>
      <c r="V107" s="5" t="s">
        <v>51</v>
      </c>
    </row>
    <row r="108" customFormat="false" ht="22.35" hidden="false" customHeight="false" outlineLevel="0" collapsed="false">
      <c r="A108" s="5" t="s">
        <v>1097</v>
      </c>
      <c r="B108" s="5" t="s">
        <v>1071</v>
      </c>
      <c r="C108" s="5" t="s">
        <v>1072</v>
      </c>
      <c r="D108" s="5" t="s">
        <v>1098</v>
      </c>
      <c r="E108" s="5" t="s">
        <v>1099</v>
      </c>
      <c r="F108" s="5" t="s">
        <v>1100</v>
      </c>
      <c r="G108" s="5" t="s">
        <v>750</v>
      </c>
      <c r="H108" s="5" t="s">
        <v>1089</v>
      </c>
      <c r="I108" s="5" t="s">
        <v>196</v>
      </c>
      <c r="J108" s="5" t="s">
        <v>1101</v>
      </c>
      <c r="K108" s="5" t="s">
        <v>1102</v>
      </c>
      <c r="L108" s="5" t="s">
        <v>84</v>
      </c>
      <c r="M108" s="5" t="s">
        <v>79</v>
      </c>
      <c r="N108" s="5" t="s">
        <v>53</v>
      </c>
      <c r="O108" s="5" t="s">
        <v>1103</v>
      </c>
      <c r="P108" s="5" t="n">
        <v>1</v>
      </c>
      <c r="Q108" s="5" t="s">
        <v>1104</v>
      </c>
      <c r="R108" s="5" t="s">
        <v>1105</v>
      </c>
      <c r="S108" s="5" t="s">
        <v>1106</v>
      </c>
      <c r="T108" s="5" t="s">
        <v>84</v>
      </c>
      <c r="U108" s="5" t="s">
        <v>58</v>
      </c>
      <c r="V108" s="5" t="s">
        <v>51</v>
      </c>
    </row>
    <row r="109" customFormat="false" ht="22.35" hidden="false" customHeight="false" outlineLevel="0" collapsed="false">
      <c r="A109" s="5" t="s">
        <v>1107</v>
      </c>
      <c r="B109" s="5" t="s">
        <v>1108</v>
      </c>
      <c r="C109" s="5" t="s">
        <v>1109</v>
      </c>
      <c r="D109" s="5" t="s">
        <v>1110</v>
      </c>
      <c r="E109" s="5" t="s">
        <v>1111</v>
      </c>
      <c r="F109" s="5" t="s">
        <v>1112</v>
      </c>
      <c r="G109" s="5" t="s">
        <v>1113</v>
      </c>
      <c r="H109" s="5" t="s">
        <v>1114</v>
      </c>
      <c r="I109" s="5" t="s">
        <v>1115</v>
      </c>
      <c r="J109" s="5" t="s">
        <v>1116</v>
      </c>
      <c r="K109" s="5" t="s">
        <v>1117</v>
      </c>
      <c r="L109" s="5" t="s">
        <v>51</v>
      </c>
      <c r="M109" s="5" t="s">
        <v>79</v>
      </c>
      <c r="N109" s="5" t="s">
        <v>53</v>
      </c>
      <c r="O109" s="5" t="s">
        <v>67</v>
      </c>
      <c r="P109" s="5" t="n">
        <v>1</v>
      </c>
      <c r="Q109" s="5" t="s">
        <v>1118</v>
      </c>
      <c r="R109" s="5" t="s">
        <v>1119</v>
      </c>
      <c r="S109" s="5" t="s">
        <v>1120</v>
      </c>
      <c r="T109" s="5" t="s">
        <v>84</v>
      </c>
      <c r="U109" s="5" t="s">
        <v>58</v>
      </c>
      <c r="V109" s="5" t="s">
        <v>51</v>
      </c>
    </row>
    <row r="110" customFormat="false" ht="22.35" hidden="false" customHeight="false" outlineLevel="0" collapsed="false">
      <c r="A110" s="5" t="s">
        <v>1121</v>
      </c>
      <c r="B110" s="5" t="s">
        <v>1108</v>
      </c>
      <c r="C110" s="5" t="s">
        <v>1109</v>
      </c>
      <c r="D110" s="5" t="s">
        <v>1122</v>
      </c>
      <c r="E110" s="5" t="s">
        <v>1123</v>
      </c>
      <c r="F110" s="5" t="s">
        <v>1124</v>
      </c>
      <c r="G110" s="5" t="s">
        <v>1113</v>
      </c>
      <c r="H110" s="5" t="s">
        <v>1107</v>
      </c>
      <c r="I110" s="5" t="s">
        <v>1115</v>
      </c>
      <c r="J110" s="5" t="s">
        <v>1125</v>
      </c>
      <c r="K110" s="5" t="s">
        <v>1126</v>
      </c>
      <c r="L110" s="5" t="s">
        <v>51</v>
      </c>
      <c r="M110" s="5" t="s">
        <v>52</v>
      </c>
      <c r="N110" s="5" t="s">
        <v>53</v>
      </c>
      <c r="O110" s="5" t="s">
        <v>389</v>
      </c>
      <c r="P110" s="5" t="n">
        <v>1</v>
      </c>
      <c r="Q110" s="5" t="s">
        <v>1127</v>
      </c>
      <c r="R110" s="5" t="s">
        <v>1128</v>
      </c>
      <c r="S110" s="5" t="s">
        <v>1129</v>
      </c>
      <c r="T110" s="5" t="s">
        <v>84</v>
      </c>
      <c r="U110" s="5" t="s">
        <v>58</v>
      </c>
      <c r="V110" s="5" t="s">
        <v>51</v>
      </c>
    </row>
    <row r="111" customFormat="false" ht="22.35" hidden="false" customHeight="false" outlineLevel="0" collapsed="false">
      <c r="A111" s="5" t="s">
        <v>1130</v>
      </c>
      <c r="B111" s="5" t="s">
        <v>1108</v>
      </c>
      <c r="C111" s="5" t="s">
        <v>1109</v>
      </c>
      <c r="D111" s="5" t="s">
        <v>1131</v>
      </c>
      <c r="E111" s="5" t="s">
        <v>1132</v>
      </c>
      <c r="F111" s="5" t="s">
        <v>1133</v>
      </c>
      <c r="G111" s="5" t="s">
        <v>1113</v>
      </c>
      <c r="H111" s="5" t="s">
        <v>1107</v>
      </c>
      <c r="I111" s="5" t="s">
        <v>1115</v>
      </c>
      <c r="J111" s="5" t="s">
        <v>1134</v>
      </c>
      <c r="K111" s="5" t="s">
        <v>1126</v>
      </c>
      <c r="L111" s="5" t="s">
        <v>51</v>
      </c>
      <c r="M111" s="5" t="s">
        <v>79</v>
      </c>
      <c r="N111" s="5" t="s">
        <v>53</v>
      </c>
      <c r="O111" s="5" t="s">
        <v>67</v>
      </c>
      <c r="P111" s="5" t="n">
        <v>1</v>
      </c>
      <c r="Q111" s="5" t="s">
        <v>1135</v>
      </c>
      <c r="R111" s="5" t="s">
        <v>1136</v>
      </c>
      <c r="S111" s="5" t="s">
        <v>1137</v>
      </c>
      <c r="T111" s="5" t="s">
        <v>84</v>
      </c>
      <c r="U111" s="5" t="s">
        <v>58</v>
      </c>
      <c r="V111" s="5" t="s">
        <v>84</v>
      </c>
    </row>
    <row r="112" customFormat="false" ht="22.35" hidden="false" customHeight="false" outlineLevel="0" collapsed="false">
      <c r="A112" s="5" t="s">
        <v>1138</v>
      </c>
      <c r="B112" s="5" t="s">
        <v>1108</v>
      </c>
      <c r="C112" s="5" t="s">
        <v>1109</v>
      </c>
      <c r="D112" s="5" t="s">
        <v>1139</v>
      </c>
      <c r="E112" s="5" t="s">
        <v>1140</v>
      </c>
      <c r="F112" s="5" t="s">
        <v>1141</v>
      </c>
      <c r="G112" s="5" t="s">
        <v>1113</v>
      </c>
      <c r="H112" s="5" t="s">
        <v>1107</v>
      </c>
      <c r="I112" s="5" t="s">
        <v>1115</v>
      </c>
      <c r="J112" s="5" t="s">
        <v>1142</v>
      </c>
      <c r="K112" s="5" t="s">
        <v>1126</v>
      </c>
      <c r="L112" s="5" t="s">
        <v>51</v>
      </c>
      <c r="M112" s="5" t="s">
        <v>52</v>
      </c>
      <c r="N112" s="5" t="s">
        <v>53</v>
      </c>
      <c r="O112" s="5" t="s">
        <v>67</v>
      </c>
      <c r="P112" s="5" t="n">
        <v>1</v>
      </c>
      <c r="Q112" s="5" t="s">
        <v>1143</v>
      </c>
      <c r="R112" s="5" t="s">
        <v>1144</v>
      </c>
      <c r="S112" s="5" t="s">
        <v>1145</v>
      </c>
      <c r="T112" s="5" t="s">
        <v>84</v>
      </c>
      <c r="U112" s="5" t="s">
        <v>58</v>
      </c>
      <c r="V112" s="5" t="s">
        <v>51</v>
      </c>
    </row>
    <row r="113" customFormat="false" ht="22.35" hidden="false" customHeight="false" outlineLevel="0" collapsed="false">
      <c r="A113" s="5" t="s">
        <v>1146</v>
      </c>
      <c r="B113" s="5" t="s">
        <v>1108</v>
      </c>
      <c r="C113" s="5" t="s">
        <v>1109</v>
      </c>
      <c r="D113" s="5" t="s">
        <v>1147</v>
      </c>
      <c r="E113" s="5" t="s">
        <v>1148</v>
      </c>
      <c r="F113" s="5" t="s">
        <v>1149</v>
      </c>
      <c r="G113" s="5" t="s">
        <v>1113</v>
      </c>
      <c r="H113" s="5" t="s">
        <v>1056</v>
      </c>
      <c r="I113" s="5" t="s">
        <v>1115</v>
      </c>
      <c r="J113" s="5" t="s">
        <v>1150</v>
      </c>
      <c r="K113" s="5" t="s">
        <v>1126</v>
      </c>
      <c r="L113" s="5" t="s">
        <v>51</v>
      </c>
      <c r="M113" s="5" t="s">
        <v>79</v>
      </c>
      <c r="N113" s="5" t="s">
        <v>53</v>
      </c>
      <c r="O113" s="5" t="s">
        <v>238</v>
      </c>
      <c r="P113" s="5" t="n">
        <v>2</v>
      </c>
      <c r="Q113" s="5" t="s">
        <v>1151</v>
      </c>
      <c r="R113" s="5" t="s">
        <v>1152</v>
      </c>
      <c r="S113" s="5" t="s">
        <v>1035</v>
      </c>
      <c r="T113" s="5" t="s">
        <v>84</v>
      </c>
      <c r="U113" s="5" t="s">
        <v>58</v>
      </c>
      <c r="V113" s="5" t="s">
        <v>51</v>
      </c>
    </row>
    <row r="114" customFormat="false" ht="22.35" hidden="false" customHeight="false" outlineLevel="0" collapsed="false">
      <c r="A114" s="5" t="s">
        <v>1153</v>
      </c>
      <c r="B114" s="5" t="s">
        <v>1108</v>
      </c>
      <c r="C114" s="5" t="s">
        <v>1109</v>
      </c>
      <c r="D114" s="5" t="s">
        <v>1154</v>
      </c>
      <c r="E114" s="5" t="s">
        <v>1155</v>
      </c>
      <c r="F114" s="5" t="s">
        <v>1156</v>
      </c>
      <c r="G114" s="5" t="s">
        <v>1113</v>
      </c>
      <c r="H114" s="5" t="s">
        <v>1036</v>
      </c>
      <c r="I114" s="5" t="s">
        <v>1115</v>
      </c>
      <c r="J114" s="5" t="s">
        <v>1157</v>
      </c>
      <c r="K114" s="5" t="s">
        <v>1158</v>
      </c>
      <c r="L114" s="5" t="s">
        <v>51</v>
      </c>
      <c r="M114" s="5" t="s">
        <v>79</v>
      </c>
      <c r="N114" s="5" t="s">
        <v>53</v>
      </c>
      <c r="O114" s="5" t="s">
        <v>238</v>
      </c>
      <c r="P114" s="5" t="n">
        <v>2</v>
      </c>
      <c r="Q114" s="5" t="s">
        <v>1159</v>
      </c>
      <c r="R114" s="5" t="s">
        <v>1160</v>
      </c>
      <c r="S114" s="5" t="s">
        <v>1161</v>
      </c>
      <c r="T114" s="5" t="s">
        <v>84</v>
      </c>
      <c r="U114" s="5" t="s">
        <v>58</v>
      </c>
      <c r="V114" s="5" t="s">
        <v>51</v>
      </c>
    </row>
    <row r="115" customFormat="false" ht="22.35" hidden="false" customHeight="false" outlineLevel="0" collapsed="false">
      <c r="A115" s="5" t="s">
        <v>1162</v>
      </c>
      <c r="B115" s="5" t="s">
        <v>1108</v>
      </c>
      <c r="C115" s="5" t="s">
        <v>1109</v>
      </c>
      <c r="D115" s="5" t="s">
        <v>1163</v>
      </c>
      <c r="E115" s="5" t="s">
        <v>1164</v>
      </c>
      <c r="F115" s="5" t="s">
        <v>1165</v>
      </c>
      <c r="G115" s="5" t="s">
        <v>1113</v>
      </c>
      <c r="H115" s="5" t="s">
        <v>1044</v>
      </c>
      <c r="I115" s="5" t="s">
        <v>1115</v>
      </c>
      <c r="J115" s="5" t="s">
        <v>1166</v>
      </c>
      <c r="K115" s="5" t="s">
        <v>1126</v>
      </c>
      <c r="L115" s="5" t="s">
        <v>51</v>
      </c>
      <c r="M115" s="5" t="s">
        <v>52</v>
      </c>
      <c r="N115" s="5" t="s">
        <v>53</v>
      </c>
      <c r="O115" s="5" t="s">
        <v>238</v>
      </c>
      <c r="P115" s="5" t="n">
        <v>2</v>
      </c>
      <c r="Q115" s="5" t="s">
        <v>1167</v>
      </c>
      <c r="R115" s="5" t="s">
        <v>1168</v>
      </c>
      <c r="S115" s="5" t="s">
        <v>1169</v>
      </c>
      <c r="T115" s="5" t="s">
        <v>84</v>
      </c>
      <c r="U115" s="5" t="s">
        <v>58</v>
      </c>
      <c r="V115" s="5" t="s">
        <v>51</v>
      </c>
    </row>
    <row r="116" customFormat="false" ht="22.35" hidden="false" customHeight="false" outlineLevel="0" collapsed="false">
      <c r="A116" s="5" t="s">
        <v>1170</v>
      </c>
      <c r="B116" s="5" t="s">
        <v>1108</v>
      </c>
      <c r="C116" s="5" t="s">
        <v>1109</v>
      </c>
      <c r="D116" s="5" t="s">
        <v>1171</v>
      </c>
      <c r="E116" s="5" t="s">
        <v>1172</v>
      </c>
      <c r="F116" s="5" t="s">
        <v>1173</v>
      </c>
      <c r="G116" s="5" t="s">
        <v>1113</v>
      </c>
      <c r="H116" s="5" t="s">
        <v>1146</v>
      </c>
      <c r="I116" s="5" t="s">
        <v>1115</v>
      </c>
      <c r="J116" s="5" t="s">
        <v>1174</v>
      </c>
      <c r="K116" s="5" t="s">
        <v>1175</v>
      </c>
      <c r="L116" s="5" t="s">
        <v>51</v>
      </c>
      <c r="M116" s="5" t="s">
        <v>79</v>
      </c>
      <c r="N116" s="5" t="s">
        <v>164</v>
      </c>
      <c r="O116" s="5" t="s">
        <v>361</v>
      </c>
      <c r="P116" s="5" t="n">
        <v>2</v>
      </c>
      <c r="Q116" s="5" t="s">
        <v>1176</v>
      </c>
      <c r="R116" s="5" t="s">
        <v>1177</v>
      </c>
      <c r="S116" s="5" t="s">
        <v>1178</v>
      </c>
      <c r="T116" s="5" t="s">
        <v>84</v>
      </c>
      <c r="U116" s="5" t="s">
        <v>58</v>
      </c>
      <c r="V116" s="5" t="s">
        <v>51</v>
      </c>
    </row>
    <row r="117" customFormat="false" ht="22.35" hidden="false" customHeight="false" outlineLevel="0" collapsed="false">
      <c r="A117" s="5" t="s">
        <v>1179</v>
      </c>
      <c r="B117" s="5" t="s">
        <v>1108</v>
      </c>
      <c r="C117" s="5" t="s">
        <v>1109</v>
      </c>
      <c r="D117" s="5" t="s">
        <v>1180</v>
      </c>
      <c r="E117" s="5" t="s">
        <v>1181</v>
      </c>
      <c r="F117" s="5" t="s">
        <v>1182</v>
      </c>
      <c r="G117" s="5" t="s">
        <v>1113</v>
      </c>
      <c r="H117" s="5" t="s">
        <v>1170</v>
      </c>
      <c r="I117" s="5" t="s">
        <v>1115</v>
      </c>
      <c r="J117" s="5" t="s">
        <v>1183</v>
      </c>
      <c r="K117" s="5" t="s">
        <v>1184</v>
      </c>
      <c r="L117" s="5" t="s">
        <v>51</v>
      </c>
      <c r="M117" s="5" t="s">
        <v>79</v>
      </c>
      <c r="N117" s="5" t="s">
        <v>164</v>
      </c>
      <c r="O117" s="5" t="s">
        <v>379</v>
      </c>
      <c r="P117" s="5" t="n">
        <v>4</v>
      </c>
      <c r="Q117" s="5" t="s">
        <v>1185</v>
      </c>
      <c r="R117" s="5" t="s">
        <v>1186</v>
      </c>
      <c r="S117" s="5" t="s">
        <v>1187</v>
      </c>
      <c r="T117" s="5" t="s">
        <v>84</v>
      </c>
      <c r="U117" s="5" t="s">
        <v>58</v>
      </c>
      <c r="V117" s="5" t="s">
        <v>51</v>
      </c>
    </row>
    <row r="118" customFormat="false" ht="22.35" hidden="false" customHeight="false" outlineLevel="0" collapsed="false">
      <c r="A118" s="5" t="s">
        <v>1188</v>
      </c>
      <c r="B118" s="5" t="s">
        <v>1108</v>
      </c>
      <c r="C118" s="5" t="s">
        <v>1109</v>
      </c>
      <c r="D118" s="5" t="s">
        <v>1189</v>
      </c>
      <c r="E118" s="5" t="s">
        <v>1190</v>
      </c>
      <c r="F118" s="5" t="s">
        <v>1191</v>
      </c>
      <c r="G118" s="5" t="s">
        <v>1113</v>
      </c>
      <c r="H118" s="5" t="s">
        <v>1146</v>
      </c>
      <c r="I118" s="5" t="s">
        <v>1115</v>
      </c>
      <c r="J118" s="5" t="s">
        <v>1192</v>
      </c>
      <c r="K118" s="5" t="s">
        <v>1126</v>
      </c>
      <c r="L118" s="5" t="s">
        <v>51</v>
      </c>
      <c r="M118" s="5" t="s">
        <v>79</v>
      </c>
      <c r="N118" s="5" t="s">
        <v>53</v>
      </c>
      <c r="O118" s="5" t="s">
        <v>238</v>
      </c>
      <c r="P118" s="5" t="n">
        <v>2</v>
      </c>
      <c r="Q118" s="5" t="s">
        <v>1193</v>
      </c>
      <c r="R118" s="5" t="s">
        <v>1194</v>
      </c>
      <c r="S118" s="5" t="s">
        <v>1195</v>
      </c>
      <c r="T118" s="5" t="s">
        <v>84</v>
      </c>
      <c r="U118" s="5" t="s">
        <v>58</v>
      </c>
      <c r="V118" s="5" t="s">
        <v>51</v>
      </c>
    </row>
    <row r="119" customFormat="false" ht="22.35" hidden="false" customHeight="false" outlineLevel="0" collapsed="false">
      <c r="A119" s="5" t="s">
        <v>1196</v>
      </c>
      <c r="B119" s="5" t="s">
        <v>1108</v>
      </c>
      <c r="C119" s="5" t="s">
        <v>1109</v>
      </c>
      <c r="D119" s="5" t="s">
        <v>1197</v>
      </c>
      <c r="E119" s="5" t="s">
        <v>1198</v>
      </c>
      <c r="F119" s="5" t="s">
        <v>1199</v>
      </c>
      <c r="G119" s="5" t="s">
        <v>1113</v>
      </c>
      <c r="H119" s="5" t="s">
        <v>1200</v>
      </c>
      <c r="I119" s="5" t="s">
        <v>1115</v>
      </c>
      <c r="J119" s="5" t="s">
        <v>1201</v>
      </c>
      <c r="K119" s="5" t="s">
        <v>1202</v>
      </c>
      <c r="L119" s="5" t="s">
        <v>51</v>
      </c>
      <c r="M119" s="5" t="s">
        <v>79</v>
      </c>
      <c r="N119" s="5" t="s">
        <v>781</v>
      </c>
      <c r="O119" s="5" t="s">
        <v>986</v>
      </c>
      <c r="P119" s="5" t="n">
        <v>10</v>
      </c>
      <c r="Q119" s="5" t="s">
        <v>1203</v>
      </c>
      <c r="R119" s="5" t="s">
        <v>1204</v>
      </c>
      <c r="S119" s="5" t="s">
        <v>655</v>
      </c>
      <c r="T119" s="5" t="s">
        <v>84</v>
      </c>
      <c r="U119" s="5" t="s">
        <v>58</v>
      </c>
      <c r="V119" s="5" t="s">
        <v>51</v>
      </c>
    </row>
    <row r="120" customFormat="false" ht="22.35" hidden="false" customHeight="false" outlineLevel="0" collapsed="false">
      <c r="A120" s="5" t="s">
        <v>1205</v>
      </c>
      <c r="B120" s="5" t="s">
        <v>1108</v>
      </c>
      <c r="C120" s="5" t="s">
        <v>1109</v>
      </c>
      <c r="D120" s="5" t="s">
        <v>1206</v>
      </c>
      <c r="E120" s="5" t="s">
        <v>1207</v>
      </c>
      <c r="F120" s="5" t="s">
        <v>1208</v>
      </c>
      <c r="G120" s="5" t="s">
        <v>1113</v>
      </c>
      <c r="H120" s="5" t="s">
        <v>1196</v>
      </c>
      <c r="I120" s="5" t="s">
        <v>1115</v>
      </c>
      <c r="J120" s="5" t="s">
        <v>1209</v>
      </c>
      <c r="K120" s="5" t="s">
        <v>1210</v>
      </c>
      <c r="L120" s="5" t="s">
        <v>51</v>
      </c>
      <c r="M120" s="5" t="s">
        <v>79</v>
      </c>
      <c r="N120" s="5" t="s">
        <v>164</v>
      </c>
      <c r="O120" s="5" t="s">
        <v>996</v>
      </c>
      <c r="P120" s="5" t="n">
        <v>4</v>
      </c>
      <c r="Q120" s="5" t="s">
        <v>997</v>
      </c>
      <c r="R120" s="5" t="s">
        <v>1211</v>
      </c>
      <c r="S120" s="5" t="s">
        <v>1169</v>
      </c>
      <c r="T120" s="5" t="s">
        <v>84</v>
      </c>
      <c r="U120" s="5" t="s">
        <v>58</v>
      </c>
      <c r="V120" s="5" t="s">
        <v>51</v>
      </c>
    </row>
    <row r="121" customFormat="false" ht="22.35" hidden="false" customHeight="false" outlineLevel="0" collapsed="false">
      <c r="A121" s="5" t="s">
        <v>1212</v>
      </c>
      <c r="B121" s="5" t="s">
        <v>1108</v>
      </c>
      <c r="C121" s="5" t="s">
        <v>1109</v>
      </c>
      <c r="D121" s="5" t="s">
        <v>1213</v>
      </c>
      <c r="E121" s="5" t="s">
        <v>1214</v>
      </c>
      <c r="F121" s="5" t="s">
        <v>1215</v>
      </c>
      <c r="G121" s="5" t="s">
        <v>1113</v>
      </c>
      <c r="H121" s="5" t="s">
        <v>1052</v>
      </c>
      <c r="I121" s="5" t="s">
        <v>1115</v>
      </c>
      <c r="J121" s="5" t="s">
        <v>1216</v>
      </c>
      <c r="K121" s="5" t="s">
        <v>1217</v>
      </c>
      <c r="L121" s="5" t="s">
        <v>51</v>
      </c>
      <c r="M121" s="5" t="s">
        <v>52</v>
      </c>
      <c r="N121" s="5" t="s">
        <v>164</v>
      </c>
      <c r="O121" s="5" t="s">
        <v>950</v>
      </c>
      <c r="P121" s="5" t="n">
        <v>5</v>
      </c>
      <c r="Q121" s="5" t="s">
        <v>1218</v>
      </c>
      <c r="R121" s="5" t="s">
        <v>1219</v>
      </c>
      <c r="S121" s="5" t="s">
        <v>1008</v>
      </c>
      <c r="T121" s="5" t="s">
        <v>84</v>
      </c>
      <c r="U121" s="5" t="s">
        <v>58</v>
      </c>
      <c r="V121" s="5" t="s">
        <v>51</v>
      </c>
    </row>
    <row r="122" customFormat="false" ht="22.35" hidden="false" customHeight="false" outlineLevel="0" collapsed="false">
      <c r="A122" s="5" t="s">
        <v>1220</v>
      </c>
      <c r="B122" s="5" t="s">
        <v>1108</v>
      </c>
      <c r="C122" s="5" t="s">
        <v>1109</v>
      </c>
      <c r="D122" s="5" t="s">
        <v>1221</v>
      </c>
      <c r="E122" s="5" t="s">
        <v>1222</v>
      </c>
      <c r="F122" s="5" t="s">
        <v>1223</v>
      </c>
      <c r="G122" s="5" t="s">
        <v>1113</v>
      </c>
      <c r="H122" s="5" t="s">
        <v>824</v>
      </c>
      <c r="I122" s="5" t="s">
        <v>1115</v>
      </c>
      <c r="J122" s="5" t="s">
        <v>1224</v>
      </c>
      <c r="K122" s="5" t="s">
        <v>1225</v>
      </c>
      <c r="L122" s="5" t="s">
        <v>51</v>
      </c>
      <c r="M122" s="5" t="s">
        <v>79</v>
      </c>
      <c r="N122" s="5" t="s">
        <v>53</v>
      </c>
      <c r="O122" s="5" t="s">
        <v>238</v>
      </c>
      <c r="P122" s="5" t="n">
        <v>2</v>
      </c>
      <c r="Q122" s="5" t="s">
        <v>1226</v>
      </c>
      <c r="R122" s="5" t="s">
        <v>1227</v>
      </c>
      <c r="S122" s="5" t="s">
        <v>1228</v>
      </c>
      <c r="T122" s="5" t="s">
        <v>84</v>
      </c>
      <c r="U122" s="5" t="s">
        <v>58</v>
      </c>
      <c r="V122" s="5" t="s">
        <v>51</v>
      </c>
    </row>
    <row r="123" customFormat="false" ht="22.35" hidden="false" customHeight="false" outlineLevel="0" collapsed="false">
      <c r="A123" s="5" t="s">
        <v>1229</v>
      </c>
      <c r="B123" s="5" t="s">
        <v>1108</v>
      </c>
      <c r="C123" s="5" t="s">
        <v>1109</v>
      </c>
      <c r="D123" s="5" t="s">
        <v>1230</v>
      </c>
      <c r="E123" s="5" t="s">
        <v>1231</v>
      </c>
      <c r="F123" s="5" t="s">
        <v>1232</v>
      </c>
      <c r="G123" s="5" t="s">
        <v>1113</v>
      </c>
      <c r="H123" s="5" t="s">
        <v>1233</v>
      </c>
      <c r="I123" s="5" t="s">
        <v>1115</v>
      </c>
      <c r="J123" s="5" t="s">
        <v>1234</v>
      </c>
      <c r="K123" s="5" t="s">
        <v>1126</v>
      </c>
      <c r="L123" s="5" t="s">
        <v>51</v>
      </c>
      <c r="M123" s="5" t="s">
        <v>79</v>
      </c>
      <c r="N123" s="5" t="s">
        <v>164</v>
      </c>
      <c r="O123" s="5" t="s">
        <v>361</v>
      </c>
      <c r="P123" s="5" t="n">
        <v>2</v>
      </c>
      <c r="Q123" s="5" t="s">
        <v>1235</v>
      </c>
      <c r="R123" s="5" t="s">
        <v>1236</v>
      </c>
      <c r="S123" s="5" t="s">
        <v>1237</v>
      </c>
      <c r="T123" s="5" t="s">
        <v>84</v>
      </c>
      <c r="U123" s="5" t="s">
        <v>58</v>
      </c>
      <c r="V123" s="5" t="s">
        <v>51</v>
      </c>
    </row>
    <row r="124" customFormat="false" ht="22.35" hidden="false" customHeight="false" outlineLevel="0" collapsed="false">
      <c r="A124" s="5" t="s">
        <v>1238</v>
      </c>
      <c r="B124" s="5" t="s">
        <v>1108</v>
      </c>
      <c r="C124" s="5" t="s">
        <v>1109</v>
      </c>
      <c r="D124" s="5" t="s">
        <v>1239</v>
      </c>
      <c r="E124" s="5" t="s">
        <v>1240</v>
      </c>
      <c r="F124" s="5" t="s">
        <v>1241</v>
      </c>
      <c r="G124" s="5" t="s">
        <v>1113</v>
      </c>
      <c r="H124" s="5" t="s">
        <v>1229</v>
      </c>
      <c r="I124" s="5" t="s">
        <v>1115</v>
      </c>
      <c r="J124" s="5" t="s">
        <v>1242</v>
      </c>
      <c r="K124" s="5" t="s">
        <v>1243</v>
      </c>
      <c r="L124" s="5" t="s">
        <v>51</v>
      </c>
      <c r="M124" s="5" t="s">
        <v>79</v>
      </c>
      <c r="N124" s="5" t="s">
        <v>53</v>
      </c>
      <c r="O124" s="5" t="s">
        <v>238</v>
      </c>
      <c r="P124" s="5" t="n">
        <v>2</v>
      </c>
      <c r="Q124" s="5" t="s">
        <v>1244</v>
      </c>
      <c r="R124" s="5" t="s">
        <v>1245</v>
      </c>
      <c r="S124" s="5" t="s">
        <v>1237</v>
      </c>
      <c r="T124" s="5" t="s">
        <v>84</v>
      </c>
      <c r="U124" s="5" t="s">
        <v>58</v>
      </c>
      <c r="V124" s="5" t="s">
        <v>51</v>
      </c>
    </row>
    <row r="125" customFormat="false" ht="22.35" hidden="false" customHeight="false" outlineLevel="0" collapsed="false">
      <c r="A125" s="5" t="s">
        <v>1246</v>
      </c>
      <c r="B125" s="5" t="s">
        <v>1108</v>
      </c>
      <c r="C125" s="5" t="s">
        <v>1109</v>
      </c>
      <c r="D125" s="5" t="s">
        <v>1247</v>
      </c>
      <c r="E125" s="5" t="s">
        <v>1248</v>
      </c>
      <c r="F125" s="5" t="s">
        <v>1249</v>
      </c>
      <c r="G125" s="5" t="s">
        <v>1113</v>
      </c>
      <c r="H125" s="5" t="s">
        <v>1229</v>
      </c>
      <c r="I125" s="5" t="s">
        <v>1115</v>
      </c>
      <c r="J125" s="5" t="s">
        <v>1250</v>
      </c>
      <c r="K125" s="5" t="s">
        <v>1126</v>
      </c>
      <c r="L125" s="5" t="s">
        <v>51</v>
      </c>
      <c r="M125" s="5" t="s">
        <v>79</v>
      </c>
      <c r="N125" s="5" t="s">
        <v>53</v>
      </c>
      <c r="O125" s="5" t="s">
        <v>67</v>
      </c>
      <c r="P125" s="5" t="n">
        <v>1</v>
      </c>
      <c r="Q125" s="5" t="s">
        <v>1251</v>
      </c>
      <c r="R125" s="5" t="s">
        <v>1252</v>
      </c>
      <c r="S125" s="5" t="s">
        <v>1253</v>
      </c>
      <c r="T125" s="5" t="s">
        <v>84</v>
      </c>
      <c r="U125" s="5" t="s">
        <v>58</v>
      </c>
      <c r="V125" s="5" t="s">
        <v>51</v>
      </c>
    </row>
    <row r="126" customFormat="false" ht="22.35" hidden="false" customHeight="false" outlineLevel="0" collapsed="false">
      <c r="A126" s="5" t="s">
        <v>1254</v>
      </c>
      <c r="B126" s="5" t="s">
        <v>1108</v>
      </c>
      <c r="C126" s="5" t="s">
        <v>1109</v>
      </c>
      <c r="D126" s="5" t="s">
        <v>1255</v>
      </c>
      <c r="E126" s="5" t="s">
        <v>1256</v>
      </c>
      <c r="F126" s="5" t="s">
        <v>1257</v>
      </c>
      <c r="G126" s="5" t="s">
        <v>1113</v>
      </c>
      <c r="H126" s="5" t="s">
        <v>1229</v>
      </c>
      <c r="I126" s="5" t="s">
        <v>1115</v>
      </c>
      <c r="J126" s="5" t="s">
        <v>1258</v>
      </c>
      <c r="K126" s="5" t="s">
        <v>1126</v>
      </c>
      <c r="L126" s="5" t="s">
        <v>51</v>
      </c>
      <c r="M126" s="5" t="s">
        <v>79</v>
      </c>
      <c r="N126" s="5" t="s">
        <v>53</v>
      </c>
      <c r="O126" s="5" t="s">
        <v>238</v>
      </c>
      <c r="P126" s="5" t="n">
        <v>2</v>
      </c>
      <c r="Q126" s="5" t="s">
        <v>1259</v>
      </c>
      <c r="R126" s="5" t="s">
        <v>1260</v>
      </c>
      <c r="S126" s="5" t="s">
        <v>1261</v>
      </c>
      <c r="T126" s="5" t="s">
        <v>84</v>
      </c>
      <c r="U126" s="5" t="s">
        <v>58</v>
      </c>
      <c r="V126" s="5" t="s">
        <v>51</v>
      </c>
    </row>
    <row r="127" customFormat="false" ht="22.35" hidden="false" customHeight="false" outlineLevel="0" collapsed="false">
      <c r="A127" s="5" t="s">
        <v>1262</v>
      </c>
      <c r="B127" s="5" t="s">
        <v>1108</v>
      </c>
      <c r="C127" s="5" t="s">
        <v>1109</v>
      </c>
      <c r="D127" s="5" t="s">
        <v>1263</v>
      </c>
      <c r="E127" s="5" t="s">
        <v>1264</v>
      </c>
      <c r="F127" s="5" t="s">
        <v>1265</v>
      </c>
      <c r="G127" s="5" t="s">
        <v>1113</v>
      </c>
      <c r="H127" s="5" t="s">
        <v>1196</v>
      </c>
      <c r="I127" s="5" t="s">
        <v>1115</v>
      </c>
      <c r="J127" s="5" t="s">
        <v>1266</v>
      </c>
      <c r="K127" s="5" t="s">
        <v>1126</v>
      </c>
      <c r="L127" s="5" t="s">
        <v>51</v>
      </c>
      <c r="M127" s="5" t="s">
        <v>66</v>
      </c>
      <c r="N127" s="5" t="s">
        <v>53</v>
      </c>
      <c r="O127" s="5" t="s">
        <v>361</v>
      </c>
      <c r="P127" s="5" t="n">
        <v>2</v>
      </c>
      <c r="Q127" s="5" t="s">
        <v>1267</v>
      </c>
      <c r="R127" s="5" t="s">
        <v>1268</v>
      </c>
      <c r="S127" s="5" t="s">
        <v>1269</v>
      </c>
      <c r="T127" s="5" t="s">
        <v>180</v>
      </c>
      <c r="U127" s="5" t="s">
        <v>58</v>
      </c>
      <c r="V127" s="5" t="s">
        <v>51</v>
      </c>
    </row>
    <row r="128" customFormat="false" ht="22.35" hidden="false" customHeight="false" outlineLevel="0" collapsed="false">
      <c r="A128" s="5" t="s">
        <v>1270</v>
      </c>
      <c r="B128" s="5" t="s">
        <v>1108</v>
      </c>
      <c r="C128" s="5" t="s">
        <v>1109</v>
      </c>
      <c r="D128" s="5" t="s">
        <v>1271</v>
      </c>
      <c r="E128" s="5" t="s">
        <v>1272</v>
      </c>
      <c r="F128" s="5" t="s">
        <v>1273</v>
      </c>
      <c r="G128" s="5" t="s">
        <v>1113</v>
      </c>
      <c r="H128" s="5" t="s">
        <v>1170</v>
      </c>
      <c r="I128" s="5" t="s">
        <v>1115</v>
      </c>
      <c r="J128" s="5" t="s">
        <v>1274</v>
      </c>
      <c r="K128" s="5" t="s">
        <v>1275</v>
      </c>
      <c r="L128" s="5" t="s">
        <v>51</v>
      </c>
      <c r="M128" s="5" t="s">
        <v>79</v>
      </c>
      <c r="N128" s="5" t="s">
        <v>53</v>
      </c>
      <c r="O128" s="5" t="s">
        <v>67</v>
      </c>
      <c r="P128" s="5" t="n">
        <v>1</v>
      </c>
      <c r="Q128" s="5" t="s">
        <v>1276</v>
      </c>
      <c r="R128" s="5" t="s">
        <v>1277</v>
      </c>
      <c r="S128" s="5" t="s">
        <v>1278</v>
      </c>
      <c r="T128" s="5" t="s">
        <v>84</v>
      </c>
      <c r="U128" s="5" t="s">
        <v>58</v>
      </c>
      <c r="V128" s="5" t="s">
        <v>51</v>
      </c>
    </row>
    <row r="129" customFormat="false" ht="22.35" hidden="false" customHeight="false" outlineLevel="0" collapsed="false">
      <c r="A129" s="5" t="s">
        <v>1279</v>
      </c>
      <c r="B129" s="5" t="s">
        <v>1108</v>
      </c>
      <c r="C129" s="5" t="s">
        <v>1109</v>
      </c>
      <c r="D129" s="5" t="s">
        <v>1280</v>
      </c>
      <c r="E129" s="5" t="s">
        <v>1281</v>
      </c>
      <c r="F129" s="5" t="s">
        <v>1282</v>
      </c>
      <c r="G129" s="5" t="s">
        <v>1113</v>
      </c>
      <c r="H129" s="5" t="s">
        <v>744</v>
      </c>
      <c r="I129" s="5" t="s">
        <v>1115</v>
      </c>
      <c r="J129" s="5" t="s">
        <v>1283</v>
      </c>
      <c r="K129" s="5" t="s">
        <v>1126</v>
      </c>
      <c r="L129" s="5" t="s">
        <v>51</v>
      </c>
      <c r="M129" s="5" t="s">
        <v>79</v>
      </c>
      <c r="N129" s="5" t="s">
        <v>53</v>
      </c>
      <c r="O129" s="5" t="s">
        <v>389</v>
      </c>
      <c r="P129" s="5" t="n">
        <v>1</v>
      </c>
      <c r="Q129" s="5" t="s">
        <v>1284</v>
      </c>
      <c r="R129" s="5" t="s">
        <v>1285</v>
      </c>
      <c r="S129" s="5" t="s">
        <v>1286</v>
      </c>
      <c r="T129" s="5" t="s">
        <v>84</v>
      </c>
      <c r="U129" s="5" t="s">
        <v>58</v>
      </c>
      <c r="V129" s="5" t="s">
        <v>51</v>
      </c>
    </row>
    <row r="130" customFormat="false" ht="22.35" hidden="false" customHeight="false" outlineLevel="0" collapsed="false">
      <c r="A130" s="5" t="s">
        <v>1287</v>
      </c>
      <c r="B130" s="5" t="s">
        <v>1108</v>
      </c>
      <c r="C130" s="5" t="s">
        <v>1109</v>
      </c>
      <c r="D130" s="5" t="s">
        <v>1288</v>
      </c>
      <c r="E130" s="5" t="s">
        <v>1289</v>
      </c>
      <c r="F130" s="5" t="s">
        <v>1290</v>
      </c>
      <c r="G130" s="5" t="s">
        <v>1113</v>
      </c>
      <c r="H130" s="5" t="s">
        <v>1291</v>
      </c>
      <c r="I130" s="5" t="s">
        <v>1115</v>
      </c>
      <c r="J130" s="5" t="s">
        <v>1292</v>
      </c>
      <c r="K130" s="5" t="s">
        <v>1126</v>
      </c>
      <c r="L130" s="5" t="s">
        <v>51</v>
      </c>
      <c r="M130" s="5" t="s">
        <v>408</v>
      </c>
      <c r="N130" s="5" t="s">
        <v>164</v>
      </c>
      <c r="O130" s="5" t="s">
        <v>361</v>
      </c>
      <c r="P130" s="5" t="n">
        <v>2</v>
      </c>
      <c r="Q130" s="5" t="s">
        <v>1293</v>
      </c>
      <c r="R130" s="5" t="s">
        <v>1294</v>
      </c>
      <c r="S130" s="5" t="s">
        <v>1295</v>
      </c>
      <c r="T130" s="5" t="s">
        <v>180</v>
      </c>
      <c r="U130" s="5" t="s">
        <v>58</v>
      </c>
      <c r="V130" s="5" t="s">
        <v>51</v>
      </c>
    </row>
    <row r="131" customFormat="false" ht="22.35" hidden="false" customHeight="false" outlineLevel="0" collapsed="false">
      <c r="A131" s="5" t="s">
        <v>1296</v>
      </c>
      <c r="B131" s="5" t="s">
        <v>1108</v>
      </c>
      <c r="C131" s="5" t="s">
        <v>1109</v>
      </c>
      <c r="D131" s="5" t="s">
        <v>1297</v>
      </c>
      <c r="E131" s="5" t="s">
        <v>1298</v>
      </c>
      <c r="F131" s="5" t="s">
        <v>1299</v>
      </c>
      <c r="G131" s="5" t="s">
        <v>1113</v>
      </c>
      <c r="H131" s="5" t="s">
        <v>1300</v>
      </c>
      <c r="I131" s="5" t="s">
        <v>1115</v>
      </c>
      <c r="J131" s="5" t="s">
        <v>1301</v>
      </c>
      <c r="K131" s="5" t="s">
        <v>1243</v>
      </c>
      <c r="L131" s="5" t="s">
        <v>84</v>
      </c>
      <c r="M131" s="5" t="s">
        <v>408</v>
      </c>
      <c r="N131" s="5" t="s">
        <v>164</v>
      </c>
      <c r="O131" s="5" t="s">
        <v>379</v>
      </c>
      <c r="P131" s="5" t="n">
        <v>4</v>
      </c>
      <c r="Q131" s="5" t="s">
        <v>1302</v>
      </c>
      <c r="R131" s="5" t="s">
        <v>1303</v>
      </c>
      <c r="S131" s="5" t="s">
        <v>1304</v>
      </c>
      <c r="T131" s="5" t="s">
        <v>180</v>
      </c>
      <c r="U131" s="5" t="s">
        <v>532</v>
      </c>
      <c r="V131" s="5" t="s">
        <v>84</v>
      </c>
    </row>
    <row r="132" customFormat="false" ht="22.35" hidden="false" customHeight="false" outlineLevel="0" collapsed="false">
      <c r="A132" s="5" t="s">
        <v>1305</v>
      </c>
      <c r="B132" s="5" t="s">
        <v>1108</v>
      </c>
      <c r="C132" s="5" t="s">
        <v>1109</v>
      </c>
      <c r="D132" s="5" t="s">
        <v>1306</v>
      </c>
      <c r="E132" s="5" t="s">
        <v>1307</v>
      </c>
      <c r="F132" s="5" t="s">
        <v>1308</v>
      </c>
      <c r="G132" s="5" t="s">
        <v>1113</v>
      </c>
      <c r="H132" s="5" t="s">
        <v>1205</v>
      </c>
      <c r="I132" s="5" t="s">
        <v>1115</v>
      </c>
      <c r="J132" s="5" t="s">
        <v>1309</v>
      </c>
      <c r="K132" s="5" t="s">
        <v>1126</v>
      </c>
      <c r="L132" s="5" t="s">
        <v>51</v>
      </c>
      <c r="M132" s="5" t="s">
        <v>66</v>
      </c>
      <c r="N132" s="5" t="s">
        <v>53</v>
      </c>
      <c r="O132" s="5" t="s">
        <v>67</v>
      </c>
      <c r="P132" s="5" t="n">
        <v>1</v>
      </c>
      <c r="Q132" s="5" t="s">
        <v>1310</v>
      </c>
      <c r="R132" s="5" t="s">
        <v>1311</v>
      </c>
      <c r="S132" s="5" t="s">
        <v>1312</v>
      </c>
      <c r="T132" s="5" t="s">
        <v>51</v>
      </c>
      <c r="U132" s="5" t="s">
        <v>532</v>
      </c>
      <c r="V132" s="5" t="s">
        <v>51</v>
      </c>
    </row>
    <row r="133" customFormat="false" ht="22.35" hidden="false" customHeight="false" outlineLevel="0" collapsed="false">
      <c r="A133" s="5" t="s">
        <v>1313</v>
      </c>
      <c r="B133" s="5" t="s">
        <v>1108</v>
      </c>
      <c r="C133" s="5" t="s">
        <v>1109</v>
      </c>
      <c r="D133" s="5" t="s">
        <v>1314</v>
      </c>
      <c r="E133" s="5" t="s">
        <v>1315</v>
      </c>
      <c r="F133" s="5" t="s">
        <v>1316</v>
      </c>
      <c r="G133" s="5" t="s">
        <v>1113</v>
      </c>
      <c r="H133" s="5" t="s">
        <v>1317</v>
      </c>
      <c r="I133" s="5" t="s">
        <v>1115</v>
      </c>
      <c r="J133" s="5" t="s">
        <v>1318</v>
      </c>
      <c r="K133" s="5" t="s">
        <v>1319</v>
      </c>
      <c r="L133" s="5" t="s">
        <v>51</v>
      </c>
      <c r="M133" s="5" t="s">
        <v>52</v>
      </c>
      <c r="N133" s="5" t="s">
        <v>164</v>
      </c>
      <c r="O133" s="5" t="s">
        <v>950</v>
      </c>
      <c r="P133" s="5" t="n">
        <v>5</v>
      </c>
      <c r="Q133" s="5" t="s">
        <v>1320</v>
      </c>
      <c r="R133" s="5" t="s">
        <v>1321</v>
      </c>
      <c r="S133" s="5" t="s">
        <v>1322</v>
      </c>
      <c r="T133" s="5" t="s">
        <v>180</v>
      </c>
      <c r="U133" s="5" t="s">
        <v>58</v>
      </c>
      <c r="V133" s="5" t="s">
        <v>51</v>
      </c>
    </row>
    <row r="134" customFormat="false" ht="22.35" hidden="false" customHeight="false" outlineLevel="0" collapsed="false">
      <c r="A134" s="5" t="s">
        <v>1323</v>
      </c>
      <c r="B134" s="5" t="s">
        <v>1324</v>
      </c>
      <c r="C134" s="5" t="s">
        <v>1325</v>
      </c>
      <c r="D134" s="5" t="s">
        <v>1326</v>
      </c>
      <c r="E134" s="5" t="s">
        <v>1327</v>
      </c>
      <c r="F134" s="5" t="s">
        <v>1328</v>
      </c>
      <c r="G134" s="5" t="s">
        <v>1113</v>
      </c>
      <c r="H134" s="5" t="s">
        <v>698</v>
      </c>
      <c r="I134" s="5" t="s">
        <v>1329</v>
      </c>
      <c r="J134" s="5" t="s">
        <v>1330</v>
      </c>
      <c r="K134" s="5" t="s">
        <v>1126</v>
      </c>
      <c r="L134" s="5" t="s">
        <v>51</v>
      </c>
      <c r="M134" s="5" t="s">
        <v>408</v>
      </c>
      <c r="N134" s="5" t="s">
        <v>53</v>
      </c>
      <c r="O134" s="5" t="s">
        <v>67</v>
      </c>
      <c r="P134" s="5" t="n">
        <v>1</v>
      </c>
      <c r="Q134" s="5" t="s">
        <v>1331</v>
      </c>
      <c r="R134" s="5" t="s">
        <v>1332</v>
      </c>
      <c r="S134" s="5" t="s">
        <v>1333</v>
      </c>
      <c r="T134" s="5" t="s">
        <v>180</v>
      </c>
      <c r="U134" s="5" t="s">
        <v>58</v>
      </c>
      <c r="V134" s="5" t="s">
        <v>51</v>
      </c>
    </row>
    <row r="135" customFormat="false" ht="22.35" hidden="false" customHeight="false" outlineLevel="0" collapsed="false">
      <c r="A135" s="5" t="s">
        <v>1334</v>
      </c>
      <c r="B135" s="5" t="s">
        <v>1324</v>
      </c>
      <c r="C135" s="5" t="s">
        <v>1325</v>
      </c>
      <c r="D135" s="5" t="s">
        <v>1335</v>
      </c>
      <c r="E135" s="5" t="s">
        <v>1336</v>
      </c>
      <c r="F135" s="5" t="s">
        <v>1337</v>
      </c>
      <c r="G135" s="5" t="s">
        <v>1113</v>
      </c>
      <c r="H135" s="5" t="s">
        <v>1323</v>
      </c>
      <c r="I135" s="5" t="s">
        <v>1329</v>
      </c>
      <c r="J135" s="5" t="s">
        <v>1338</v>
      </c>
      <c r="K135" s="5" t="s">
        <v>1339</v>
      </c>
      <c r="L135" s="5" t="s">
        <v>51</v>
      </c>
      <c r="M135" s="5" t="s">
        <v>79</v>
      </c>
      <c r="N135" s="5" t="s">
        <v>53</v>
      </c>
      <c r="O135" s="5" t="s">
        <v>67</v>
      </c>
      <c r="P135" s="5" t="n">
        <v>1</v>
      </c>
      <c r="Q135" s="5" t="s">
        <v>1340</v>
      </c>
      <c r="R135" s="5" t="s">
        <v>1341</v>
      </c>
      <c r="S135" s="5" t="s">
        <v>1342</v>
      </c>
      <c r="T135" s="5" t="s">
        <v>84</v>
      </c>
      <c r="U135" s="5" t="s">
        <v>58</v>
      </c>
      <c r="V135" s="5" t="s">
        <v>84</v>
      </c>
    </row>
    <row r="136" customFormat="false" ht="22.35" hidden="false" customHeight="false" outlineLevel="0" collapsed="false">
      <c r="A136" s="5" t="s">
        <v>1343</v>
      </c>
      <c r="B136" s="5" t="s">
        <v>1324</v>
      </c>
      <c r="C136" s="5" t="s">
        <v>1325</v>
      </c>
      <c r="D136" s="5" t="s">
        <v>1344</v>
      </c>
      <c r="E136" s="5" t="s">
        <v>1345</v>
      </c>
      <c r="F136" s="5" t="s">
        <v>1346</v>
      </c>
      <c r="G136" s="5" t="s">
        <v>1113</v>
      </c>
      <c r="H136" s="5" t="s">
        <v>1347</v>
      </c>
      <c r="I136" s="5" t="s">
        <v>1329</v>
      </c>
      <c r="J136" s="5" t="s">
        <v>1348</v>
      </c>
      <c r="K136" s="5" t="s">
        <v>1349</v>
      </c>
      <c r="L136" s="5" t="s">
        <v>51</v>
      </c>
      <c r="M136" s="5" t="s">
        <v>408</v>
      </c>
      <c r="N136" s="5" t="s">
        <v>781</v>
      </c>
      <c r="O136" s="5" t="s">
        <v>1350</v>
      </c>
      <c r="P136" s="5" t="n">
        <v>10</v>
      </c>
      <c r="Q136" s="5" t="s">
        <v>1351</v>
      </c>
      <c r="R136" s="5" t="s">
        <v>1352</v>
      </c>
      <c r="S136" s="5" t="s">
        <v>1353</v>
      </c>
      <c r="T136" s="5" t="s">
        <v>180</v>
      </c>
      <c r="U136" s="5" t="s">
        <v>58</v>
      </c>
      <c r="V136" s="5" t="s">
        <v>51</v>
      </c>
    </row>
    <row r="137" customFormat="false" ht="22.35" hidden="false" customHeight="false" outlineLevel="0" collapsed="false">
      <c r="A137" s="5" t="s">
        <v>1354</v>
      </c>
      <c r="B137" s="5" t="s">
        <v>1324</v>
      </c>
      <c r="C137" s="5" t="s">
        <v>1325</v>
      </c>
      <c r="D137" s="5" t="s">
        <v>1355</v>
      </c>
      <c r="E137" s="5" t="s">
        <v>1356</v>
      </c>
      <c r="F137" s="5" t="s">
        <v>1357</v>
      </c>
      <c r="G137" s="5" t="s">
        <v>1113</v>
      </c>
      <c r="H137" s="5" t="s">
        <v>1358</v>
      </c>
      <c r="I137" s="5" t="s">
        <v>1329</v>
      </c>
      <c r="J137" s="5" t="s">
        <v>1359</v>
      </c>
      <c r="K137" s="5" t="s">
        <v>1360</v>
      </c>
      <c r="L137" s="5" t="s">
        <v>51</v>
      </c>
      <c r="M137" s="5" t="s">
        <v>408</v>
      </c>
      <c r="N137" s="5" t="s">
        <v>164</v>
      </c>
      <c r="O137" s="5" t="s">
        <v>1361</v>
      </c>
      <c r="P137" s="5" t="n">
        <v>3</v>
      </c>
      <c r="Q137" s="5" t="s">
        <v>1362</v>
      </c>
      <c r="R137" s="5" t="s">
        <v>1363</v>
      </c>
      <c r="S137" s="5" t="s">
        <v>1364</v>
      </c>
      <c r="T137" s="5" t="s">
        <v>180</v>
      </c>
      <c r="U137" s="5" t="s">
        <v>58</v>
      </c>
      <c r="V137" s="5" t="s">
        <v>51</v>
      </c>
    </row>
    <row r="138" customFormat="false" ht="22.35" hidden="false" customHeight="false" outlineLevel="0" collapsed="false">
      <c r="A138" s="5" t="s">
        <v>1365</v>
      </c>
      <c r="B138" s="5" t="s">
        <v>1324</v>
      </c>
      <c r="C138" s="5" t="s">
        <v>1325</v>
      </c>
      <c r="D138" s="5" t="s">
        <v>1366</v>
      </c>
      <c r="E138" s="5" t="s">
        <v>1367</v>
      </c>
      <c r="F138" s="5" t="s">
        <v>1368</v>
      </c>
      <c r="G138" s="5" t="s">
        <v>1113</v>
      </c>
      <c r="H138" s="5" t="s">
        <v>1354</v>
      </c>
      <c r="I138" s="5" t="s">
        <v>1329</v>
      </c>
      <c r="J138" s="5" t="s">
        <v>1369</v>
      </c>
      <c r="K138" s="5" t="s">
        <v>1370</v>
      </c>
      <c r="L138" s="5" t="s">
        <v>51</v>
      </c>
      <c r="M138" s="5" t="s">
        <v>79</v>
      </c>
      <c r="N138" s="5" t="s">
        <v>164</v>
      </c>
      <c r="O138" s="5" t="s">
        <v>361</v>
      </c>
      <c r="P138" s="5" t="n">
        <v>3</v>
      </c>
      <c r="Q138" s="5" t="s">
        <v>1371</v>
      </c>
      <c r="R138" s="5" t="s">
        <v>1372</v>
      </c>
      <c r="S138" s="5" t="s">
        <v>1373</v>
      </c>
      <c r="T138" s="5" t="s">
        <v>84</v>
      </c>
      <c r="U138" s="5" t="s">
        <v>58</v>
      </c>
      <c r="V138" s="5" t="s">
        <v>51</v>
      </c>
    </row>
    <row r="139" customFormat="false" ht="22.35" hidden="false" customHeight="false" outlineLevel="0" collapsed="false">
      <c r="A139" s="5" t="s">
        <v>1374</v>
      </c>
      <c r="B139" s="5" t="s">
        <v>1324</v>
      </c>
      <c r="C139" s="5" t="s">
        <v>1325</v>
      </c>
      <c r="D139" s="5" t="s">
        <v>1375</v>
      </c>
      <c r="E139" s="5" t="s">
        <v>1376</v>
      </c>
      <c r="F139" s="5" t="s">
        <v>1377</v>
      </c>
      <c r="G139" s="5" t="s">
        <v>1113</v>
      </c>
      <c r="H139" s="5" t="s">
        <v>1323</v>
      </c>
      <c r="I139" s="5" t="s">
        <v>1329</v>
      </c>
      <c r="J139" s="5" t="s">
        <v>1378</v>
      </c>
      <c r="K139" s="5" t="s">
        <v>1379</v>
      </c>
      <c r="L139" s="5" t="s">
        <v>51</v>
      </c>
      <c r="M139" s="5" t="s">
        <v>79</v>
      </c>
      <c r="N139" s="5" t="s">
        <v>53</v>
      </c>
      <c r="O139" s="5" t="s">
        <v>238</v>
      </c>
      <c r="P139" s="5" t="n">
        <v>2</v>
      </c>
      <c r="Q139" s="5" t="s">
        <v>1380</v>
      </c>
      <c r="R139" s="5" t="s">
        <v>1381</v>
      </c>
      <c r="S139" s="5" t="s">
        <v>1382</v>
      </c>
      <c r="T139" s="5" t="s">
        <v>180</v>
      </c>
      <c r="U139" s="5" t="s">
        <v>58</v>
      </c>
      <c r="V139" s="5" t="s">
        <v>84</v>
      </c>
    </row>
    <row r="140" customFormat="false" ht="22.35" hidden="false" customHeight="false" outlineLevel="0" collapsed="false">
      <c r="A140" s="5" t="s">
        <v>1383</v>
      </c>
      <c r="B140" s="5" t="s">
        <v>1324</v>
      </c>
      <c r="C140" s="5" t="s">
        <v>1325</v>
      </c>
      <c r="D140" s="5" t="s">
        <v>1384</v>
      </c>
      <c r="E140" s="5" t="s">
        <v>1385</v>
      </c>
      <c r="F140" s="5" t="s">
        <v>1386</v>
      </c>
      <c r="G140" s="5" t="s">
        <v>1113</v>
      </c>
      <c r="H140" s="5" t="s">
        <v>1354</v>
      </c>
      <c r="I140" s="5" t="s">
        <v>1329</v>
      </c>
      <c r="J140" s="5" t="s">
        <v>1387</v>
      </c>
      <c r="K140" s="5" t="s">
        <v>1388</v>
      </c>
      <c r="L140" s="5" t="s">
        <v>51</v>
      </c>
      <c r="M140" s="5" t="s">
        <v>79</v>
      </c>
      <c r="N140" s="5" t="s">
        <v>53</v>
      </c>
      <c r="O140" s="5" t="s">
        <v>238</v>
      </c>
      <c r="P140" s="5" t="n">
        <v>2</v>
      </c>
      <c r="Q140" s="5" t="s">
        <v>1389</v>
      </c>
      <c r="R140" s="5" t="s">
        <v>1390</v>
      </c>
      <c r="S140" s="5" t="s">
        <v>1391</v>
      </c>
      <c r="T140" s="5" t="s">
        <v>180</v>
      </c>
      <c r="U140" s="5" t="s">
        <v>58</v>
      </c>
      <c r="V140" s="5" t="s">
        <v>51</v>
      </c>
    </row>
    <row r="141" customFormat="false" ht="22.35" hidden="false" customHeight="false" outlineLevel="0" collapsed="false">
      <c r="A141" s="5" t="s">
        <v>1392</v>
      </c>
      <c r="B141" s="5" t="s">
        <v>1324</v>
      </c>
      <c r="C141" s="5" t="s">
        <v>1325</v>
      </c>
      <c r="D141" s="5" t="s">
        <v>1393</v>
      </c>
      <c r="E141" s="5" t="s">
        <v>1394</v>
      </c>
      <c r="F141" s="5" t="s">
        <v>1395</v>
      </c>
      <c r="G141" s="5" t="s">
        <v>1113</v>
      </c>
      <c r="H141" s="5" t="s">
        <v>1354</v>
      </c>
      <c r="I141" s="5" t="s">
        <v>1329</v>
      </c>
      <c r="J141" s="5" t="s">
        <v>1396</v>
      </c>
      <c r="K141" s="5" t="s">
        <v>1370</v>
      </c>
      <c r="L141" s="5" t="s">
        <v>51</v>
      </c>
      <c r="M141" s="5" t="s">
        <v>408</v>
      </c>
      <c r="N141" s="5" t="s">
        <v>164</v>
      </c>
      <c r="O141" s="5" t="s">
        <v>1397</v>
      </c>
      <c r="P141" s="5" t="n">
        <v>4</v>
      </c>
      <c r="Q141" s="5" t="s">
        <v>1398</v>
      </c>
      <c r="R141" s="5" t="s">
        <v>1399</v>
      </c>
      <c r="S141" s="5" t="s">
        <v>1400</v>
      </c>
      <c r="T141" s="5" t="s">
        <v>180</v>
      </c>
      <c r="U141" s="5" t="s">
        <v>58</v>
      </c>
      <c r="V141" s="5" t="s">
        <v>51</v>
      </c>
    </row>
    <row r="142" customFormat="false" ht="22.35" hidden="false" customHeight="false" outlineLevel="0" collapsed="false">
      <c r="A142" s="5" t="s">
        <v>1401</v>
      </c>
      <c r="B142" s="5" t="s">
        <v>1324</v>
      </c>
      <c r="C142" s="5" t="s">
        <v>1325</v>
      </c>
      <c r="D142" s="5" t="s">
        <v>1402</v>
      </c>
      <c r="E142" s="5" t="s">
        <v>1403</v>
      </c>
      <c r="F142" s="5" t="s">
        <v>1404</v>
      </c>
      <c r="G142" s="5" t="s">
        <v>1113</v>
      </c>
      <c r="H142" s="5" t="s">
        <v>1343</v>
      </c>
      <c r="I142" s="5" t="s">
        <v>1329</v>
      </c>
      <c r="J142" s="5" t="s">
        <v>1405</v>
      </c>
      <c r="K142" s="5" t="s">
        <v>1406</v>
      </c>
      <c r="L142" s="5" t="s">
        <v>51</v>
      </c>
      <c r="M142" s="5" t="s">
        <v>408</v>
      </c>
      <c r="N142" s="5" t="s">
        <v>164</v>
      </c>
      <c r="O142" s="5" t="s">
        <v>361</v>
      </c>
      <c r="P142" s="5" t="n">
        <v>2</v>
      </c>
      <c r="Q142" s="5" t="s">
        <v>1259</v>
      </c>
      <c r="R142" s="5" t="s">
        <v>1407</v>
      </c>
      <c r="S142" s="5" t="s">
        <v>1408</v>
      </c>
      <c r="T142" s="5" t="s">
        <v>180</v>
      </c>
      <c r="U142" s="5" t="s">
        <v>58</v>
      </c>
      <c r="V142" s="5" t="s">
        <v>84</v>
      </c>
    </row>
    <row r="143" customFormat="false" ht="22.35" hidden="false" customHeight="false" outlineLevel="0" collapsed="false">
      <c r="A143" s="5" t="s">
        <v>1409</v>
      </c>
      <c r="B143" s="5" t="s">
        <v>1324</v>
      </c>
      <c r="C143" s="5" t="s">
        <v>1325</v>
      </c>
      <c r="D143" s="5" t="s">
        <v>1410</v>
      </c>
      <c r="E143" s="5" t="s">
        <v>1411</v>
      </c>
      <c r="F143" s="5" t="s">
        <v>1412</v>
      </c>
      <c r="G143" s="5" t="s">
        <v>1113</v>
      </c>
      <c r="H143" s="5" t="s">
        <v>1354</v>
      </c>
      <c r="I143" s="5" t="s">
        <v>1329</v>
      </c>
      <c r="J143" s="5" t="s">
        <v>1318</v>
      </c>
      <c r="K143" s="5" t="s">
        <v>1413</v>
      </c>
      <c r="L143" s="5" t="s">
        <v>51</v>
      </c>
      <c r="M143" s="5" t="s">
        <v>52</v>
      </c>
      <c r="N143" s="5" t="s">
        <v>164</v>
      </c>
      <c r="O143" s="5" t="s">
        <v>950</v>
      </c>
      <c r="P143" s="5" t="n">
        <v>5</v>
      </c>
      <c r="Q143" s="5" t="s">
        <v>1320</v>
      </c>
      <c r="R143" s="5" t="s">
        <v>1414</v>
      </c>
      <c r="S143" s="5" t="s">
        <v>1322</v>
      </c>
      <c r="T143" s="5" t="s">
        <v>180</v>
      </c>
      <c r="U143" s="5" t="s">
        <v>58</v>
      </c>
      <c r="V143" s="5" t="s">
        <v>51</v>
      </c>
    </row>
    <row r="144" customFormat="false" ht="22.35" hidden="false" customHeight="false" outlineLevel="0" collapsed="false">
      <c r="A144" s="5" t="s">
        <v>1415</v>
      </c>
      <c r="B144" s="5" t="s">
        <v>1416</v>
      </c>
      <c r="C144" s="5" t="s">
        <v>1417</v>
      </c>
      <c r="D144" s="5" t="s">
        <v>1418</v>
      </c>
      <c r="E144" s="5" t="s">
        <v>1419</v>
      </c>
      <c r="F144" s="5" t="s">
        <v>1420</v>
      </c>
      <c r="G144" s="5" t="s">
        <v>1113</v>
      </c>
      <c r="H144" s="5" t="s">
        <v>698</v>
      </c>
      <c r="I144" s="5" t="s">
        <v>1329</v>
      </c>
      <c r="J144" s="5" t="s">
        <v>152</v>
      </c>
      <c r="K144" s="5" t="s">
        <v>1421</v>
      </c>
      <c r="L144" s="5" t="s">
        <v>51</v>
      </c>
      <c r="M144" s="5" t="s">
        <v>408</v>
      </c>
      <c r="N144" s="5" t="s">
        <v>53</v>
      </c>
      <c r="O144" s="5" t="s">
        <v>67</v>
      </c>
      <c r="P144" s="5" t="n">
        <v>1</v>
      </c>
      <c r="Q144" s="5" t="s">
        <v>1422</v>
      </c>
      <c r="R144" s="5" t="s">
        <v>1423</v>
      </c>
      <c r="S144" s="5" t="s">
        <v>1424</v>
      </c>
      <c r="T144" s="5" t="s">
        <v>180</v>
      </c>
      <c r="U144" s="5" t="s">
        <v>58</v>
      </c>
      <c r="V144" s="5" t="s">
        <v>51</v>
      </c>
    </row>
    <row r="145" customFormat="false" ht="22.35" hidden="false" customHeight="false" outlineLevel="0" collapsed="false">
      <c r="A145" s="5" t="s">
        <v>1347</v>
      </c>
      <c r="B145" s="5" t="s">
        <v>1416</v>
      </c>
      <c r="C145" s="5" t="s">
        <v>1417</v>
      </c>
      <c r="D145" s="5" t="s">
        <v>1425</v>
      </c>
      <c r="E145" s="5" t="s">
        <v>1426</v>
      </c>
      <c r="F145" s="5" t="s">
        <v>1427</v>
      </c>
      <c r="G145" s="5" t="s">
        <v>1113</v>
      </c>
      <c r="H145" s="5" t="s">
        <v>263</v>
      </c>
      <c r="I145" s="5" t="s">
        <v>1329</v>
      </c>
      <c r="J145" s="5" t="s">
        <v>1428</v>
      </c>
      <c r="K145" s="5" t="s">
        <v>1429</v>
      </c>
      <c r="L145" s="5" t="s">
        <v>51</v>
      </c>
      <c r="M145" s="5" t="s">
        <v>408</v>
      </c>
      <c r="N145" s="5" t="s">
        <v>164</v>
      </c>
      <c r="O145" s="5" t="s">
        <v>831</v>
      </c>
      <c r="P145" s="5" t="n">
        <v>3</v>
      </c>
      <c r="Q145" s="5" t="s">
        <v>1430</v>
      </c>
      <c r="R145" s="5" t="s">
        <v>1431</v>
      </c>
      <c r="S145" s="5" t="s">
        <v>1432</v>
      </c>
      <c r="T145" s="5" t="s">
        <v>180</v>
      </c>
      <c r="U145" s="5" t="s">
        <v>58</v>
      </c>
      <c r="V145" s="5" t="s">
        <v>51</v>
      </c>
    </row>
    <row r="146" customFormat="false" ht="22.35" hidden="false" customHeight="false" outlineLevel="0" collapsed="false">
      <c r="A146" s="5" t="s">
        <v>1433</v>
      </c>
      <c r="B146" s="5" t="s">
        <v>1416</v>
      </c>
      <c r="C146" s="5" t="s">
        <v>1417</v>
      </c>
      <c r="D146" s="5" t="s">
        <v>1434</v>
      </c>
      <c r="E146" s="5" t="s">
        <v>1435</v>
      </c>
      <c r="F146" s="5" t="s">
        <v>1436</v>
      </c>
      <c r="G146" s="5" t="s">
        <v>1113</v>
      </c>
      <c r="H146" s="5" t="s">
        <v>1347</v>
      </c>
      <c r="I146" s="5" t="s">
        <v>1329</v>
      </c>
      <c r="J146" s="5" t="s">
        <v>1437</v>
      </c>
      <c r="K146" s="5" t="s">
        <v>1217</v>
      </c>
      <c r="L146" s="5" t="s">
        <v>51</v>
      </c>
      <c r="M146" s="5" t="s">
        <v>408</v>
      </c>
      <c r="N146" s="5" t="s">
        <v>53</v>
      </c>
      <c r="O146" s="5" t="s">
        <v>67</v>
      </c>
      <c r="P146" s="5" t="n">
        <v>1</v>
      </c>
      <c r="Q146" s="5" t="s">
        <v>1438</v>
      </c>
      <c r="R146" s="5" t="s">
        <v>1439</v>
      </c>
      <c r="S146" s="5" t="s">
        <v>1440</v>
      </c>
      <c r="T146" s="5" t="s">
        <v>180</v>
      </c>
      <c r="U146" s="5" t="s">
        <v>58</v>
      </c>
      <c r="V146" s="5" t="s">
        <v>84</v>
      </c>
    </row>
    <row r="147" customFormat="false" ht="22.35" hidden="false" customHeight="false" outlineLevel="0" collapsed="false">
      <c r="A147" s="5" t="s">
        <v>1441</v>
      </c>
      <c r="B147" s="5" t="s">
        <v>1416</v>
      </c>
      <c r="C147" s="5" t="s">
        <v>1417</v>
      </c>
      <c r="D147" s="5" t="s">
        <v>1442</v>
      </c>
      <c r="E147" s="5" t="s">
        <v>1443</v>
      </c>
      <c r="F147" s="5" t="s">
        <v>1444</v>
      </c>
      <c r="G147" s="5" t="s">
        <v>1113</v>
      </c>
      <c r="H147" s="5" t="s">
        <v>1433</v>
      </c>
      <c r="I147" s="5" t="s">
        <v>1329</v>
      </c>
      <c r="J147" s="5" t="s">
        <v>1445</v>
      </c>
      <c r="K147" s="5" t="s">
        <v>1126</v>
      </c>
      <c r="L147" s="5" t="s">
        <v>51</v>
      </c>
      <c r="M147" s="5" t="s">
        <v>408</v>
      </c>
      <c r="N147" s="5" t="s">
        <v>53</v>
      </c>
      <c r="O147" s="5" t="s">
        <v>67</v>
      </c>
      <c r="P147" s="5" t="n">
        <v>1</v>
      </c>
      <c r="Q147" s="5" t="s">
        <v>1446</v>
      </c>
      <c r="R147" s="5" t="s">
        <v>1447</v>
      </c>
      <c r="S147" s="5" t="s">
        <v>1448</v>
      </c>
      <c r="T147" s="5" t="s">
        <v>180</v>
      </c>
      <c r="U147" s="5" t="s">
        <v>58</v>
      </c>
      <c r="V147" s="5" t="s">
        <v>51</v>
      </c>
    </row>
    <row r="148" customFormat="false" ht="22.35" hidden="false" customHeight="false" outlineLevel="0" collapsed="false">
      <c r="A148" s="5" t="s">
        <v>1449</v>
      </c>
      <c r="B148" s="5" t="s">
        <v>1416</v>
      </c>
      <c r="C148" s="5" t="s">
        <v>1417</v>
      </c>
      <c r="D148" s="5" t="s">
        <v>1450</v>
      </c>
      <c r="E148" s="5" t="s">
        <v>1451</v>
      </c>
      <c r="F148" s="5" t="s">
        <v>1452</v>
      </c>
      <c r="G148" s="5" t="s">
        <v>1113</v>
      </c>
      <c r="H148" s="5" t="s">
        <v>1347</v>
      </c>
      <c r="I148" s="5" t="s">
        <v>1329</v>
      </c>
      <c r="J148" s="5" t="s">
        <v>1453</v>
      </c>
      <c r="K148" s="5" t="s">
        <v>1126</v>
      </c>
      <c r="L148" s="5" t="s">
        <v>51</v>
      </c>
      <c r="M148" s="5" t="s">
        <v>408</v>
      </c>
      <c r="N148" s="5" t="s">
        <v>53</v>
      </c>
      <c r="O148" s="5" t="s">
        <v>67</v>
      </c>
      <c r="P148" s="5" t="n">
        <v>1</v>
      </c>
      <c r="Q148" s="5" t="s">
        <v>1454</v>
      </c>
      <c r="R148" s="5" t="s">
        <v>1455</v>
      </c>
      <c r="S148" s="5" t="s">
        <v>1456</v>
      </c>
      <c r="T148" s="5" t="s">
        <v>180</v>
      </c>
      <c r="U148" s="5" t="s">
        <v>58</v>
      </c>
      <c r="V148" s="5" t="s">
        <v>51</v>
      </c>
    </row>
    <row r="149" customFormat="false" ht="22.35" hidden="false" customHeight="false" outlineLevel="0" collapsed="false">
      <c r="A149" s="5" t="s">
        <v>1457</v>
      </c>
      <c r="B149" s="5" t="s">
        <v>1416</v>
      </c>
      <c r="C149" s="5" t="s">
        <v>1417</v>
      </c>
      <c r="D149" s="5" t="s">
        <v>1458</v>
      </c>
      <c r="E149" s="5" t="s">
        <v>1459</v>
      </c>
      <c r="F149" s="5" t="s">
        <v>1460</v>
      </c>
      <c r="G149" s="5" t="s">
        <v>1113</v>
      </c>
      <c r="H149" s="5" t="s">
        <v>1415</v>
      </c>
      <c r="I149" s="5" t="s">
        <v>1329</v>
      </c>
      <c r="J149" s="5" t="s">
        <v>1461</v>
      </c>
      <c r="K149" s="5" t="s">
        <v>1462</v>
      </c>
      <c r="L149" s="5" t="s">
        <v>51</v>
      </c>
      <c r="M149" s="5" t="s">
        <v>408</v>
      </c>
      <c r="N149" s="5" t="s">
        <v>53</v>
      </c>
      <c r="O149" s="5" t="s">
        <v>389</v>
      </c>
      <c r="P149" s="5" t="n">
        <v>1</v>
      </c>
      <c r="Q149" s="5" t="s">
        <v>1463</v>
      </c>
      <c r="R149" s="5" t="s">
        <v>1464</v>
      </c>
      <c r="S149" s="5" t="s">
        <v>1465</v>
      </c>
      <c r="T149" s="5" t="s">
        <v>180</v>
      </c>
      <c r="U149" s="5" t="s">
        <v>58</v>
      </c>
      <c r="V149" s="5" t="s">
        <v>51</v>
      </c>
    </row>
    <row r="150" customFormat="false" ht="22.35" hidden="false" customHeight="false" outlineLevel="0" collapsed="false">
      <c r="A150" s="5" t="s">
        <v>1466</v>
      </c>
      <c r="B150" s="5" t="s">
        <v>1416</v>
      </c>
      <c r="C150" s="5" t="s">
        <v>1417</v>
      </c>
      <c r="D150" s="5" t="s">
        <v>1467</v>
      </c>
      <c r="E150" s="5" t="s">
        <v>1468</v>
      </c>
      <c r="F150" s="5" t="s">
        <v>1469</v>
      </c>
      <c r="G150" s="5" t="s">
        <v>1470</v>
      </c>
      <c r="H150" s="5" t="s">
        <v>1415</v>
      </c>
      <c r="I150" s="5" t="s">
        <v>1471</v>
      </c>
      <c r="J150" s="5" t="s">
        <v>1472</v>
      </c>
      <c r="K150" s="5" t="s">
        <v>1473</v>
      </c>
      <c r="L150" s="5" t="s">
        <v>51</v>
      </c>
      <c r="M150" s="5" t="s">
        <v>79</v>
      </c>
      <c r="N150" s="5" t="s">
        <v>164</v>
      </c>
      <c r="O150" s="5" t="s">
        <v>238</v>
      </c>
      <c r="P150" s="5" t="n">
        <v>2</v>
      </c>
      <c r="Q150" s="5" t="s">
        <v>1474</v>
      </c>
      <c r="R150" s="5" t="s">
        <v>1475</v>
      </c>
      <c r="S150" s="5" t="s">
        <v>1476</v>
      </c>
      <c r="T150" s="5" t="s">
        <v>180</v>
      </c>
      <c r="U150" s="5" t="s">
        <v>58</v>
      </c>
      <c r="V150" s="5" t="s">
        <v>84</v>
      </c>
    </row>
    <row r="151" customFormat="false" ht="22.35" hidden="false" customHeight="false" outlineLevel="0" collapsed="false">
      <c r="A151" s="5" t="s">
        <v>1477</v>
      </c>
      <c r="B151" s="5" t="s">
        <v>1478</v>
      </c>
      <c r="C151" s="5" t="s">
        <v>1479</v>
      </c>
      <c r="D151" s="5" t="s">
        <v>1480</v>
      </c>
      <c r="E151" s="5" t="s">
        <v>1481</v>
      </c>
      <c r="F151" s="5" t="s">
        <v>1482</v>
      </c>
      <c r="G151" s="5" t="s">
        <v>1113</v>
      </c>
      <c r="H151" s="5" t="s">
        <v>263</v>
      </c>
      <c r="I151" s="5" t="s">
        <v>1329</v>
      </c>
      <c r="J151" s="5" t="s">
        <v>1483</v>
      </c>
      <c r="K151" s="5" t="s">
        <v>1484</v>
      </c>
      <c r="L151" s="5" t="s">
        <v>51</v>
      </c>
      <c r="M151" s="5" t="s">
        <v>408</v>
      </c>
      <c r="N151" s="5" t="s">
        <v>164</v>
      </c>
      <c r="O151" s="5" t="s">
        <v>238</v>
      </c>
      <c r="P151" s="5" t="n">
        <v>2</v>
      </c>
      <c r="Q151" s="5" t="s">
        <v>1485</v>
      </c>
      <c r="R151" s="5" t="s">
        <v>1486</v>
      </c>
      <c r="S151" s="5" t="s">
        <v>1373</v>
      </c>
      <c r="T151" s="5" t="s">
        <v>180</v>
      </c>
      <c r="U151" s="5" t="s">
        <v>58</v>
      </c>
      <c r="V151" s="5" t="s">
        <v>51</v>
      </c>
    </row>
    <row r="152" customFormat="false" ht="22.35" hidden="false" customHeight="false" outlineLevel="0" collapsed="false">
      <c r="A152" s="5" t="s">
        <v>1487</v>
      </c>
      <c r="B152" s="5" t="s">
        <v>1478</v>
      </c>
      <c r="C152" s="5" t="s">
        <v>1479</v>
      </c>
      <c r="D152" s="5" t="s">
        <v>1488</v>
      </c>
      <c r="E152" s="5" t="s">
        <v>1489</v>
      </c>
      <c r="F152" s="5" t="s">
        <v>1490</v>
      </c>
      <c r="G152" s="5" t="s">
        <v>1113</v>
      </c>
      <c r="H152" s="5" t="s">
        <v>1477</v>
      </c>
      <c r="I152" s="5" t="s">
        <v>1491</v>
      </c>
      <c r="J152" s="5" t="s">
        <v>1492</v>
      </c>
      <c r="K152" s="5" t="s">
        <v>1349</v>
      </c>
      <c r="L152" s="5" t="s">
        <v>51</v>
      </c>
      <c r="M152" s="5" t="s">
        <v>408</v>
      </c>
      <c r="N152" s="5" t="s">
        <v>164</v>
      </c>
      <c r="O152" s="5" t="s">
        <v>771</v>
      </c>
      <c r="P152" s="5" t="n">
        <v>7</v>
      </c>
      <c r="Q152" s="5" t="s">
        <v>1493</v>
      </c>
      <c r="R152" s="5" t="s">
        <v>1494</v>
      </c>
      <c r="S152" s="5" t="s">
        <v>1495</v>
      </c>
      <c r="T152" s="5" t="s">
        <v>180</v>
      </c>
      <c r="U152" s="5" t="s">
        <v>58</v>
      </c>
      <c r="V152" s="5" t="s">
        <v>51</v>
      </c>
    </row>
    <row r="153" customFormat="false" ht="22.35" hidden="false" customHeight="false" outlineLevel="0" collapsed="false">
      <c r="A153" s="5" t="s">
        <v>1496</v>
      </c>
      <c r="B153" s="5" t="s">
        <v>1478</v>
      </c>
      <c r="C153" s="5" t="s">
        <v>1479</v>
      </c>
      <c r="D153" s="5" t="s">
        <v>1497</v>
      </c>
      <c r="E153" s="5" t="s">
        <v>1498</v>
      </c>
      <c r="F153" s="5" t="s">
        <v>1499</v>
      </c>
      <c r="G153" s="5" t="s">
        <v>1113</v>
      </c>
      <c r="H153" s="5" t="s">
        <v>1500</v>
      </c>
      <c r="I153" s="5" t="s">
        <v>1329</v>
      </c>
      <c r="J153" s="5" t="s">
        <v>1501</v>
      </c>
      <c r="K153" s="5" t="s">
        <v>1318</v>
      </c>
      <c r="L153" s="5" t="s">
        <v>51</v>
      </c>
      <c r="M153" s="5" t="s">
        <v>408</v>
      </c>
      <c r="N153" s="5" t="s">
        <v>164</v>
      </c>
      <c r="O153" s="5" t="s">
        <v>379</v>
      </c>
      <c r="P153" s="5" t="n">
        <v>4</v>
      </c>
      <c r="Q153" s="5" t="s">
        <v>1502</v>
      </c>
      <c r="R153" s="5" t="s">
        <v>1503</v>
      </c>
      <c r="S153" s="5" t="s">
        <v>1504</v>
      </c>
      <c r="T153" s="5" t="s">
        <v>180</v>
      </c>
      <c r="U153" s="5" t="s">
        <v>58</v>
      </c>
      <c r="V153" s="5" t="s">
        <v>51</v>
      </c>
    </row>
    <row r="154" customFormat="false" ht="22.35" hidden="false" customHeight="false" outlineLevel="0" collapsed="false">
      <c r="A154" s="5" t="s">
        <v>1505</v>
      </c>
      <c r="B154" s="5" t="s">
        <v>1478</v>
      </c>
      <c r="C154" s="5" t="s">
        <v>1479</v>
      </c>
      <c r="D154" s="5" t="s">
        <v>1506</v>
      </c>
      <c r="E154" s="5" t="s">
        <v>1507</v>
      </c>
      <c r="F154" s="5" t="s">
        <v>1508</v>
      </c>
      <c r="G154" s="5" t="s">
        <v>1113</v>
      </c>
      <c r="H154" s="5" t="s">
        <v>1487</v>
      </c>
      <c r="I154" s="5" t="s">
        <v>1329</v>
      </c>
      <c r="J154" s="5" t="s">
        <v>1509</v>
      </c>
      <c r="K154" s="5" t="s">
        <v>1510</v>
      </c>
      <c r="L154" s="5" t="s">
        <v>51</v>
      </c>
      <c r="M154" s="5" t="s">
        <v>408</v>
      </c>
      <c r="N154" s="5" t="s">
        <v>164</v>
      </c>
      <c r="O154" s="5" t="s">
        <v>950</v>
      </c>
      <c r="P154" s="5" t="n">
        <v>5</v>
      </c>
      <c r="Q154" s="5" t="s">
        <v>1511</v>
      </c>
      <c r="R154" s="5" t="s">
        <v>1512</v>
      </c>
      <c r="S154" s="5" t="s">
        <v>1513</v>
      </c>
      <c r="T154" s="5" t="s">
        <v>180</v>
      </c>
      <c r="U154" s="5" t="s">
        <v>58</v>
      </c>
      <c r="V154" s="5" t="s">
        <v>51</v>
      </c>
    </row>
    <row r="155" customFormat="false" ht="22.35" hidden="false" customHeight="false" outlineLevel="0" collapsed="false">
      <c r="A155" s="5" t="s">
        <v>1514</v>
      </c>
      <c r="B155" s="5" t="s">
        <v>1478</v>
      </c>
      <c r="C155" s="5" t="s">
        <v>1479</v>
      </c>
      <c r="D155" s="5" t="s">
        <v>1515</v>
      </c>
      <c r="E155" s="5" t="s">
        <v>1516</v>
      </c>
      <c r="F155" s="5" t="s">
        <v>1517</v>
      </c>
      <c r="G155" s="5" t="s">
        <v>1113</v>
      </c>
      <c r="H155" s="5" t="s">
        <v>1487</v>
      </c>
      <c r="I155" s="5" t="s">
        <v>1329</v>
      </c>
      <c r="J155" s="5" t="s">
        <v>1518</v>
      </c>
      <c r="K155" s="5" t="s">
        <v>1519</v>
      </c>
      <c r="L155" s="5" t="s">
        <v>51</v>
      </c>
      <c r="M155" s="5" t="s">
        <v>408</v>
      </c>
      <c r="N155" s="5" t="s">
        <v>53</v>
      </c>
      <c r="O155" s="5" t="s">
        <v>238</v>
      </c>
      <c r="P155" s="5" t="n">
        <v>2</v>
      </c>
      <c r="Q155" s="5" t="s">
        <v>1520</v>
      </c>
      <c r="R155" s="5" t="s">
        <v>1521</v>
      </c>
      <c r="S155" s="5" t="s">
        <v>1522</v>
      </c>
      <c r="T155" s="5" t="s">
        <v>180</v>
      </c>
      <c r="U155" s="5" t="s">
        <v>58</v>
      </c>
      <c r="V155" s="5" t="s">
        <v>51</v>
      </c>
    </row>
    <row r="156" customFormat="false" ht="22.35" hidden="false" customHeight="false" outlineLevel="0" collapsed="false">
      <c r="A156" s="5" t="s">
        <v>1523</v>
      </c>
      <c r="B156" s="5" t="s">
        <v>1478</v>
      </c>
      <c r="C156" s="5" t="s">
        <v>1479</v>
      </c>
      <c r="D156" s="5" t="s">
        <v>1524</v>
      </c>
      <c r="E156" s="5" t="s">
        <v>1525</v>
      </c>
      <c r="F156" s="5" t="s">
        <v>1526</v>
      </c>
      <c r="G156" s="5" t="s">
        <v>1113</v>
      </c>
      <c r="H156" s="5" t="s">
        <v>1527</v>
      </c>
      <c r="I156" s="5" t="s">
        <v>1329</v>
      </c>
      <c r="J156" s="5" t="s">
        <v>1528</v>
      </c>
      <c r="K156" s="5" t="s">
        <v>1529</v>
      </c>
      <c r="L156" s="5" t="s">
        <v>51</v>
      </c>
      <c r="M156" s="5" t="s">
        <v>52</v>
      </c>
      <c r="N156" s="5" t="s">
        <v>53</v>
      </c>
      <c r="O156" s="5" t="s">
        <v>176</v>
      </c>
      <c r="P156" s="5" t="n">
        <v>1</v>
      </c>
      <c r="Q156" s="5" t="s">
        <v>1530</v>
      </c>
      <c r="R156" s="5" t="s">
        <v>1531</v>
      </c>
      <c r="S156" s="5" t="s">
        <v>1532</v>
      </c>
      <c r="T156" s="5" t="s">
        <v>180</v>
      </c>
      <c r="U156" s="5" t="s">
        <v>58</v>
      </c>
      <c r="V156" s="5" t="s">
        <v>84</v>
      </c>
    </row>
    <row r="157" customFormat="false" ht="22.35" hidden="false" customHeight="false" outlineLevel="0" collapsed="false">
      <c r="A157" s="5" t="s">
        <v>1291</v>
      </c>
      <c r="B157" s="5" t="s">
        <v>1533</v>
      </c>
      <c r="C157" s="5" t="s">
        <v>1534</v>
      </c>
      <c r="D157" s="5" t="s">
        <v>1535</v>
      </c>
      <c r="E157" s="5" t="s">
        <v>1536</v>
      </c>
      <c r="F157" s="5" t="s">
        <v>1537</v>
      </c>
      <c r="G157" s="5" t="s">
        <v>1113</v>
      </c>
      <c r="H157" s="5" t="s">
        <v>263</v>
      </c>
      <c r="I157" s="5" t="s">
        <v>1329</v>
      </c>
      <c r="J157" s="5" t="s">
        <v>1538</v>
      </c>
      <c r="K157" s="5" t="s">
        <v>1539</v>
      </c>
      <c r="L157" s="5" t="s">
        <v>51</v>
      </c>
      <c r="M157" s="5" t="s">
        <v>408</v>
      </c>
      <c r="N157" s="5" t="s">
        <v>164</v>
      </c>
      <c r="O157" s="5" t="s">
        <v>361</v>
      </c>
      <c r="P157" s="5" t="n">
        <v>2</v>
      </c>
      <c r="Q157" s="5" t="s">
        <v>1540</v>
      </c>
      <c r="R157" s="5" t="s">
        <v>1541</v>
      </c>
      <c r="S157" s="5" t="s">
        <v>1542</v>
      </c>
      <c r="T157" s="5" t="s">
        <v>180</v>
      </c>
      <c r="U157" s="5" t="s">
        <v>58</v>
      </c>
      <c r="V157" s="5" t="s">
        <v>51</v>
      </c>
    </row>
    <row r="158" customFormat="false" ht="22.35" hidden="false" customHeight="false" outlineLevel="0" collapsed="false">
      <c r="A158" s="5" t="s">
        <v>1543</v>
      </c>
      <c r="B158" s="5" t="s">
        <v>1533</v>
      </c>
      <c r="C158" s="5" t="s">
        <v>1534</v>
      </c>
      <c r="D158" s="5" t="s">
        <v>1544</v>
      </c>
      <c r="E158" s="5" t="s">
        <v>1545</v>
      </c>
      <c r="F158" s="5" t="s">
        <v>1546</v>
      </c>
      <c r="G158" s="5" t="s">
        <v>1113</v>
      </c>
      <c r="H158" s="5" t="s">
        <v>1291</v>
      </c>
      <c r="I158" s="5" t="s">
        <v>1329</v>
      </c>
      <c r="J158" s="5" t="s">
        <v>1547</v>
      </c>
      <c r="K158" s="5" t="s">
        <v>1217</v>
      </c>
      <c r="L158" s="5" t="s">
        <v>51</v>
      </c>
      <c r="M158" s="5" t="s">
        <v>408</v>
      </c>
      <c r="N158" s="5" t="s">
        <v>164</v>
      </c>
      <c r="O158" s="5" t="s">
        <v>1548</v>
      </c>
      <c r="P158" s="5" t="n">
        <v>5</v>
      </c>
      <c r="Q158" s="5" t="s">
        <v>1549</v>
      </c>
      <c r="R158" s="5" t="s">
        <v>1550</v>
      </c>
      <c r="S158" s="5" t="s">
        <v>1551</v>
      </c>
      <c r="T158" s="5" t="s">
        <v>180</v>
      </c>
      <c r="U158" s="5" t="s">
        <v>58</v>
      </c>
      <c r="V158" s="5" t="s">
        <v>51</v>
      </c>
    </row>
    <row r="159" customFormat="false" ht="22.35" hidden="false" customHeight="false" outlineLevel="0" collapsed="false">
      <c r="A159" s="5" t="s">
        <v>1552</v>
      </c>
      <c r="B159" s="5" t="s">
        <v>1533</v>
      </c>
      <c r="C159" s="5" t="s">
        <v>1534</v>
      </c>
      <c r="D159" s="5" t="s">
        <v>1553</v>
      </c>
      <c r="E159" s="5" t="s">
        <v>1554</v>
      </c>
      <c r="F159" s="5" t="s">
        <v>1555</v>
      </c>
      <c r="G159" s="5" t="s">
        <v>1113</v>
      </c>
      <c r="H159" s="5" t="s">
        <v>1556</v>
      </c>
      <c r="I159" s="5" t="s">
        <v>1329</v>
      </c>
      <c r="J159" s="5" t="s">
        <v>1557</v>
      </c>
      <c r="K159" s="5" t="s">
        <v>1558</v>
      </c>
      <c r="L159" s="5" t="s">
        <v>51</v>
      </c>
      <c r="M159" s="5" t="s">
        <v>79</v>
      </c>
      <c r="N159" s="5" t="s">
        <v>53</v>
      </c>
      <c r="O159" s="5" t="s">
        <v>67</v>
      </c>
      <c r="P159" s="5" t="n">
        <v>1</v>
      </c>
      <c r="Q159" s="5" t="s">
        <v>1559</v>
      </c>
      <c r="R159" s="5" t="s">
        <v>1560</v>
      </c>
      <c r="S159" s="5" t="s">
        <v>1561</v>
      </c>
      <c r="T159" s="5" t="s">
        <v>180</v>
      </c>
      <c r="U159" s="5" t="s">
        <v>58</v>
      </c>
      <c r="V159" s="5" t="s">
        <v>84</v>
      </c>
    </row>
    <row r="160" customFormat="false" ht="22.35" hidden="false" customHeight="false" outlineLevel="0" collapsed="false">
      <c r="A160" s="5" t="s">
        <v>1556</v>
      </c>
      <c r="B160" s="5" t="s">
        <v>1562</v>
      </c>
      <c r="C160" s="5" t="s">
        <v>1563</v>
      </c>
      <c r="D160" s="5" t="s">
        <v>1564</v>
      </c>
      <c r="E160" s="5" t="s">
        <v>1565</v>
      </c>
      <c r="F160" s="5" t="s">
        <v>1566</v>
      </c>
      <c r="G160" s="5" t="s">
        <v>1113</v>
      </c>
      <c r="H160" s="5" t="s">
        <v>281</v>
      </c>
      <c r="I160" s="5" t="s">
        <v>196</v>
      </c>
      <c r="J160" s="5" t="s">
        <v>1567</v>
      </c>
      <c r="K160" s="5" t="s">
        <v>1568</v>
      </c>
      <c r="L160" s="5" t="s">
        <v>84</v>
      </c>
      <c r="M160" s="5" t="s">
        <v>79</v>
      </c>
      <c r="N160" s="5" t="s">
        <v>53</v>
      </c>
      <c r="O160" s="5" t="s">
        <v>67</v>
      </c>
      <c r="P160" s="5" t="n">
        <v>1</v>
      </c>
      <c r="Q160" s="5" t="s">
        <v>1569</v>
      </c>
      <c r="R160" s="5" t="s">
        <v>1570</v>
      </c>
      <c r="S160" s="5" t="s">
        <v>1571</v>
      </c>
      <c r="T160" s="5" t="s">
        <v>84</v>
      </c>
      <c r="U160" s="5" t="s">
        <v>58</v>
      </c>
      <c r="V160" s="5" t="s">
        <v>51</v>
      </c>
    </row>
    <row r="161" customFormat="false" ht="22.35" hidden="false" customHeight="false" outlineLevel="0" collapsed="false">
      <c r="A161" s="5" t="s">
        <v>1572</v>
      </c>
      <c r="B161" s="5" t="s">
        <v>1562</v>
      </c>
      <c r="C161" s="5" t="s">
        <v>1563</v>
      </c>
      <c r="D161" s="5" t="s">
        <v>1573</v>
      </c>
      <c r="E161" s="5" t="s">
        <v>1574</v>
      </c>
      <c r="F161" s="5" t="s">
        <v>1575</v>
      </c>
      <c r="G161" s="5" t="s">
        <v>1113</v>
      </c>
      <c r="H161" s="5" t="s">
        <v>1556</v>
      </c>
      <c r="I161" s="5" t="s">
        <v>1115</v>
      </c>
      <c r="J161" s="5" t="s">
        <v>1576</v>
      </c>
      <c r="K161" s="5" t="s">
        <v>579</v>
      </c>
      <c r="L161" s="5" t="s">
        <v>51</v>
      </c>
      <c r="M161" s="5" t="s">
        <v>408</v>
      </c>
      <c r="N161" s="5" t="s">
        <v>53</v>
      </c>
      <c r="O161" s="5" t="s">
        <v>67</v>
      </c>
      <c r="P161" s="5" t="n">
        <v>1</v>
      </c>
      <c r="Q161" s="5" t="s">
        <v>1577</v>
      </c>
      <c r="R161" s="5" t="s">
        <v>1578</v>
      </c>
      <c r="S161" s="5" t="s">
        <v>1579</v>
      </c>
      <c r="T161" s="5" t="s">
        <v>180</v>
      </c>
      <c r="U161" s="5" t="s">
        <v>58</v>
      </c>
      <c r="V161" s="5" t="s">
        <v>51</v>
      </c>
    </row>
    <row r="162" customFormat="false" ht="22.35" hidden="false" customHeight="false" outlineLevel="0" collapsed="false">
      <c r="A162" s="5" t="s">
        <v>1580</v>
      </c>
      <c r="B162" s="5" t="s">
        <v>1562</v>
      </c>
      <c r="C162" s="5" t="s">
        <v>1563</v>
      </c>
      <c r="D162" s="5" t="s">
        <v>1581</v>
      </c>
      <c r="E162" s="5" t="s">
        <v>1582</v>
      </c>
      <c r="F162" s="5" t="s">
        <v>1583</v>
      </c>
      <c r="G162" s="5" t="s">
        <v>1113</v>
      </c>
      <c r="H162" s="5" t="s">
        <v>1556</v>
      </c>
      <c r="I162" s="5" t="s">
        <v>1115</v>
      </c>
      <c r="J162" s="5" t="s">
        <v>1584</v>
      </c>
      <c r="K162" s="5" t="s">
        <v>1585</v>
      </c>
      <c r="L162" s="5" t="s">
        <v>51</v>
      </c>
      <c r="M162" s="5" t="s">
        <v>408</v>
      </c>
      <c r="N162" s="5" t="s">
        <v>53</v>
      </c>
      <c r="O162" s="5" t="s">
        <v>1586</v>
      </c>
      <c r="P162" s="5" t="n">
        <v>1</v>
      </c>
      <c r="Q162" s="5" t="s">
        <v>1587</v>
      </c>
      <c r="R162" s="5" t="s">
        <v>1588</v>
      </c>
      <c r="S162" s="5" t="s">
        <v>1589</v>
      </c>
      <c r="T162" s="5" t="s">
        <v>180</v>
      </c>
      <c r="U162" s="5" t="s">
        <v>532</v>
      </c>
      <c r="V162" s="5" t="s">
        <v>51</v>
      </c>
    </row>
    <row r="163" customFormat="false" ht="22.35" hidden="false" customHeight="false" outlineLevel="0" collapsed="false">
      <c r="A163" s="5" t="s">
        <v>1590</v>
      </c>
      <c r="B163" s="5" t="s">
        <v>1562</v>
      </c>
      <c r="C163" s="5" t="s">
        <v>1563</v>
      </c>
      <c r="D163" s="5" t="s">
        <v>1591</v>
      </c>
      <c r="E163" s="5" t="s">
        <v>1592</v>
      </c>
      <c r="F163" s="5" t="s">
        <v>1593</v>
      </c>
      <c r="G163" s="5" t="s">
        <v>1113</v>
      </c>
      <c r="H163" s="5" t="s">
        <v>1556</v>
      </c>
      <c r="I163" s="5" t="s">
        <v>1115</v>
      </c>
      <c r="J163" s="5" t="s">
        <v>1594</v>
      </c>
      <c r="K163" s="5" t="s">
        <v>1126</v>
      </c>
      <c r="L163" s="5" t="s">
        <v>51</v>
      </c>
      <c r="M163" s="5" t="s">
        <v>66</v>
      </c>
      <c r="N163" s="5" t="s">
        <v>53</v>
      </c>
      <c r="O163" s="5" t="s">
        <v>176</v>
      </c>
      <c r="P163" s="5" t="n">
        <v>1</v>
      </c>
      <c r="Q163" s="5" t="s">
        <v>1595</v>
      </c>
      <c r="R163" s="5" t="s">
        <v>1596</v>
      </c>
      <c r="S163" s="5" t="s">
        <v>1597</v>
      </c>
      <c r="T163" s="5" t="s">
        <v>180</v>
      </c>
      <c r="U163" s="5" t="s">
        <v>58</v>
      </c>
      <c r="V163" s="5" t="s">
        <v>51</v>
      </c>
    </row>
    <row r="164" customFormat="false" ht="22.35" hidden="false" customHeight="false" outlineLevel="0" collapsed="false">
      <c r="A164" s="5" t="s">
        <v>1598</v>
      </c>
      <c r="B164" s="5" t="s">
        <v>1562</v>
      </c>
      <c r="C164" s="5" t="s">
        <v>1563</v>
      </c>
      <c r="D164" s="5" t="s">
        <v>1599</v>
      </c>
      <c r="E164" s="5" t="s">
        <v>1600</v>
      </c>
      <c r="F164" s="5" t="s">
        <v>1601</v>
      </c>
      <c r="G164" s="5" t="s">
        <v>1113</v>
      </c>
      <c r="H164" s="5" t="s">
        <v>1602</v>
      </c>
      <c r="I164" s="5" t="s">
        <v>1329</v>
      </c>
      <c r="J164" s="5" t="s">
        <v>1603</v>
      </c>
      <c r="K164" s="5" t="s">
        <v>1585</v>
      </c>
      <c r="L164" s="5" t="s">
        <v>51</v>
      </c>
      <c r="M164" s="5" t="s">
        <v>408</v>
      </c>
      <c r="N164" s="5" t="s">
        <v>164</v>
      </c>
      <c r="O164" s="5" t="s">
        <v>950</v>
      </c>
      <c r="P164" s="5" t="n">
        <v>5</v>
      </c>
      <c r="Q164" s="5" t="s">
        <v>1604</v>
      </c>
      <c r="R164" s="5" t="s">
        <v>1605</v>
      </c>
      <c r="S164" s="5" t="s">
        <v>1304</v>
      </c>
      <c r="T164" s="5" t="s">
        <v>180</v>
      </c>
      <c r="U164" s="5" t="s">
        <v>774</v>
      </c>
      <c r="V164" s="5" t="s">
        <v>84</v>
      </c>
    </row>
    <row r="165" customFormat="false" ht="22.35" hidden="false" customHeight="false" outlineLevel="0" collapsed="false">
      <c r="A165" s="5" t="s">
        <v>1606</v>
      </c>
      <c r="B165" s="5" t="s">
        <v>1562</v>
      </c>
      <c r="C165" s="5" t="s">
        <v>1563</v>
      </c>
      <c r="D165" s="5" t="s">
        <v>1607</v>
      </c>
      <c r="E165" s="5" t="s">
        <v>1608</v>
      </c>
      <c r="F165" s="5" t="s">
        <v>1609</v>
      </c>
      <c r="G165" s="5" t="s">
        <v>1113</v>
      </c>
      <c r="H165" s="5" t="s">
        <v>1610</v>
      </c>
      <c r="I165" s="5" t="s">
        <v>1329</v>
      </c>
      <c r="J165" s="5" t="s">
        <v>1611</v>
      </c>
      <c r="K165" s="5" t="s">
        <v>1318</v>
      </c>
      <c r="L165" s="5" t="s">
        <v>51</v>
      </c>
      <c r="M165" s="5" t="s">
        <v>52</v>
      </c>
      <c r="N165" s="5" t="s">
        <v>164</v>
      </c>
      <c r="O165" s="5" t="s">
        <v>361</v>
      </c>
      <c r="P165" s="5" t="n">
        <v>2</v>
      </c>
      <c r="Q165" s="5" t="s">
        <v>1612</v>
      </c>
      <c r="R165" s="5" t="s">
        <v>1613</v>
      </c>
      <c r="S165" s="5" t="s">
        <v>1614</v>
      </c>
      <c r="T165" s="5" t="s">
        <v>180</v>
      </c>
      <c r="U165" s="5" t="s">
        <v>58</v>
      </c>
      <c r="V165" s="5" t="s">
        <v>51</v>
      </c>
    </row>
    <row r="166" customFormat="false" ht="22.35" hidden="false" customHeight="false" outlineLevel="0" collapsed="false">
      <c r="A166" s="5" t="s">
        <v>1233</v>
      </c>
      <c r="B166" s="5" t="s">
        <v>1615</v>
      </c>
      <c r="C166" s="5" t="s">
        <v>1616</v>
      </c>
      <c r="D166" s="5" t="s">
        <v>1617</v>
      </c>
      <c r="E166" s="5" t="s">
        <v>1618</v>
      </c>
      <c r="F166" s="5" t="s">
        <v>1619</v>
      </c>
      <c r="G166" s="5" t="s">
        <v>1113</v>
      </c>
      <c r="H166" s="5" t="s">
        <v>263</v>
      </c>
      <c r="I166" s="5" t="s">
        <v>196</v>
      </c>
      <c r="J166" s="5" t="s">
        <v>1620</v>
      </c>
      <c r="K166" s="5" t="s">
        <v>685</v>
      </c>
      <c r="L166" s="5" t="s">
        <v>84</v>
      </c>
      <c r="M166" s="5" t="s">
        <v>79</v>
      </c>
      <c r="N166" s="5" t="s">
        <v>53</v>
      </c>
      <c r="O166" s="5" t="s">
        <v>67</v>
      </c>
      <c r="P166" s="5" t="n">
        <v>1</v>
      </c>
      <c r="Q166" s="5" t="s">
        <v>1621</v>
      </c>
      <c r="R166" s="5" t="s">
        <v>1622</v>
      </c>
      <c r="S166" s="5" t="s">
        <v>1623</v>
      </c>
      <c r="T166" s="5" t="s">
        <v>84</v>
      </c>
      <c r="U166" s="5" t="s">
        <v>58</v>
      </c>
      <c r="V166" s="5" t="s">
        <v>51</v>
      </c>
    </row>
    <row r="167" customFormat="false" ht="22.35" hidden="false" customHeight="false" outlineLevel="0" collapsed="false">
      <c r="A167" s="5" t="s">
        <v>1624</v>
      </c>
      <c r="B167" s="5" t="s">
        <v>1615</v>
      </c>
      <c r="C167" s="5" t="s">
        <v>1616</v>
      </c>
      <c r="D167" s="5" t="s">
        <v>1625</v>
      </c>
      <c r="E167" s="5" t="s">
        <v>1626</v>
      </c>
      <c r="F167" s="5" t="s">
        <v>1627</v>
      </c>
      <c r="G167" s="5" t="s">
        <v>1113</v>
      </c>
      <c r="H167" s="5" t="s">
        <v>1628</v>
      </c>
      <c r="I167" s="5" t="s">
        <v>1329</v>
      </c>
      <c r="J167" s="5" t="s">
        <v>1629</v>
      </c>
      <c r="K167" s="5" t="s">
        <v>1630</v>
      </c>
      <c r="L167" s="5" t="s">
        <v>51</v>
      </c>
      <c r="M167" s="5" t="s">
        <v>79</v>
      </c>
      <c r="N167" s="5" t="s">
        <v>164</v>
      </c>
      <c r="O167" s="5" t="s">
        <v>361</v>
      </c>
      <c r="P167" s="5" t="n">
        <v>2</v>
      </c>
      <c r="Q167" s="5" t="s">
        <v>1631</v>
      </c>
      <c r="R167" s="5" t="s">
        <v>1632</v>
      </c>
      <c r="S167" s="5" t="s">
        <v>1237</v>
      </c>
      <c r="T167" s="5" t="s">
        <v>84</v>
      </c>
      <c r="U167" s="5" t="s">
        <v>58</v>
      </c>
      <c r="V167" s="5" t="s">
        <v>84</v>
      </c>
    </row>
    <row r="168" customFormat="false" ht="22.35" hidden="false" customHeight="false" outlineLevel="0" collapsed="false">
      <c r="A168" s="5" t="s">
        <v>1633</v>
      </c>
      <c r="B168" s="5" t="s">
        <v>1615</v>
      </c>
      <c r="C168" s="5" t="s">
        <v>1616</v>
      </c>
      <c r="D168" s="5" t="s">
        <v>1634</v>
      </c>
      <c r="E168" s="5" t="s">
        <v>1635</v>
      </c>
      <c r="F168" s="5" t="s">
        <v>1636</v>
      </c>
      <c r="G168" s="5" t="s">
        <v>1113</v>
      </c>
      <c r="H168" s="5" t="s">
        <v>1624</v>
      </c>
      <c r="I168" s="5" t="s">
        <v>1329</v>
      </c>
      <c r="J168" s="5" t="s">
        <v>1637</v>
      </c>
      <c r="K168" s="5" t="s">
        <v>1388</v>
      </c>
      <c r="L168" s="5" t="s">
        <v>51</v>
      </c>
      <c r="M168" s="5" t="s">
        <v>79</v>
      </c>
      <c r="N168" s="5" t="s">
        <v>53</v>
      </c>
      <c r="O168" s="5" t="s">
        <v>67</v>
      </c>
      <c r="P168" s="5" t="n">
        <v>1</v>
      </c>
      <c r="Q168" s="5" t="s">
        <v>1638</v>
      </c>
      <c r="R168" s="5" t="s">
        <v>1639</v>
      </c>
      <c r="S168" s="5" t="s">
        <v>1237</v>
      </c>
      <c r="T168" s="5" t="s">
        <v>84</v>
      </c>
      <c r="U168" s="5" t="s">
        <v>58</v>
      </c>
      <c r="V168" s="5" t="s">
        <v>84</v>
      </c>
    </row>
    <row r="169" customFormat="false" ht="22.35" hidden="false" customHeight="false" outlineLevel="0" collapsed="false">
      <c r="A169" s="5" t="s">
        <v>1640</v>
      </c>
      <c r="B169" s="5" t="s">
        <v>1615</v>
      </c>
      <c r="C169" s="5" t="s">
        <v>1616</v>
      </c>
      <c r="D169" s="5" t="s">
        <v>1641</v>
      </c>
      <c r="E169" s="5" t="s">
        <v>1642</v>
      </c>
      <c r="F169" s="5" t="s">
        <v>1643</v>
      </c>
      <c r="G169" s="5" t="s">
        <v>1113</v>
      </c>
      <c r="H169" s="5" t="s">
        <v>1644</v>
      </c>
      <c r="I169" s="5" t="s">
        <v>1645</v>
      </c>
      <c r="J169" s="5" t="s">
        <v>1646</v>
      </c>
      <c r="K169" s="5" t="s">
        <v>1647</v>
      </c>
      <c r="L169" s="5" t="s">
        <v>84</v>
      </c>
      <c r="M169" s="5" t="s">
        <v>79</v>
      </c>
      <c r="N169" s="5" t="s">
        <v>53</v>
      </c>
      <c r="O169" s="5" t="s">
        <v>389</v>
      </c>
      <c r="P169" s="5" t="n">
        <v>1</v>
      </c>
      <c r="Q169" s="5" t="s">
        <v>1648</v>
      </c>
      <c r="R169" s="5" t="s">
        <v>1649</v>
      </c>
      <c r="S169" s="5" t="s">
        <v>1304</v>
      </c>
      <c r="T169" s="5" t="s">
        <v>84</v>
      </c>
      <c r="U169" s="5" t="s">
        <v>58</v>
      </c>
      <c r="V169" s="5" t="s">
        <v>51</v>
      </c>
    </row>
    <row r="170" customFormat="false" ht="22.35" hidden="false" customHeight="false" outlineLevel="0" collapsed="false">
      <c r="A170" s="5" t="s">
        <v>1650</v>
      </c>
      <c r="B170" s="5" t="s">
        <v>1615</v>
      </c>
      <c r="C170" s="5" t="s">
        <v>1616</v>
      </c>
      <c r="D170" s="5" t="s">
        <v>1651</v>
      </c>
      <c r="E170" s="5" t="s">
        <v>1652</v>
      </c>
      <c r="F170" s="5" t="s">
        <v>1653</v>
      </c>
      <c r="G170" s="5" t="s">
        <v>1113</v>
      </c>
      <c r="H170" s="5" t="s">
        <v>1654</v>
      </c>
      <c r="I170" s="5" t="s">
        <v>1115</v>
      </c>
      <c r="J170" s="5" t="s">
        <v>1655</v>
      </c>
      <c r="K170" s="5" t="s">
        <v>1656</v>
      </c>
      <c r="L170" s="5" t="s">
        <v>51</v>
      </c>
      <c r="M170" s="5" t="s">
        <v>52</v>
      </c>
      <c r="N170" s="5" t="s">
        <v>53</v>
      </c>
      <c r="O170" s="5" t="s">
        <v>67</v>
      </c>
      <c r="P170" s="5" t="n">
        <v>1</v>
      </c>
      <c r="Q170" s="5" t="s">
        <v>1657</v>
      </c>
      <c r="R170" s="5" t="s">
        <v>1658</v>
      </c>
      <c r="S170" s="5" t="s">
        <v>1659</v>
      </c>
      <c r="T170" s="5" t="s">
        <v>84</v>
      </c>
      <c r="U170" s="5" t="s">
        <v>58</v>
      </c>
      <c r="V170" s="5" t="s">
        <v>51</v>
      </c>
    </row>
    <row r="171" customFormat="false" ht="22.35" hidden="false" customHeight="false" outlineLevel="0" collapsed="false">
      <c r="A171" s="5" t="s">
        <v>1660</v>
      </c>
      <c r="B171" s="5" t="s">
        <v>1615</v>
      </c>
      <c r="C171" s="5" t="s">
        <v>1616</v>
      </c>
      <c r="D171" s="5" t="s">
        <v>1661</v>
      </c>
      <c r="E171" s="5" t="s">
        <v>1662</v>
      </c>
      <c r="F171" s="5" t="s">
        <v>1663</v>
      </c>
      <c r="G171" s="5" t="s">
        <v>1664</v>
      </c>
      <c r="H171" s="5" t="s">
        <v>1665</v>
      </c>
      <c r="I171" s="5" t="s">
        <v>1664</v>
      </c>
      <c r="J171" s="5" t="s">
        <v>1585</v>
      </c>
      <c r="K171" s="5" t="s">
        <v>1666</v>
      </c>
      <c r="L171" s="5" t="s">
        <v>51</v>
      </c>
      <c r="M171" s="5" t="s">
        <v>79</v>
      </c>
      <c r="N171" s="5" t="s">
        <v>53</v>
      </c>
      <c r="O171" s="5" t="s">
        <v>67</v>
      </c>
      <c r="P171" s="5" t="n">
        <v>1</v>
      </c>
      <c r="Q171" s="5" t="s">
        <v>1667</v>
      </c>
      <c r="R171" s="5" t="s">
        <v>1668</v>
      </c>
      <c r="S171" s="5" t="s">
        <v>1237</v>
      </c>
      <c r="T171" s="5" t="s">
        <v>84</v>
      </c>
      <c r="U171" s="5" t="s">
        <v>58</v>
      </c>
      <c r="V171" s="5" t="s">
        <v>84</v>
      </c>
    </row>
    <row r="172" customFormat="false" ht="22.35" hidden="false" customHeight="false" outlineLevel="0" collapsed="false">
      <c r="A172" s="5" t="s">
        <v>1669</v>
      </c>
      <c r="B172" s="5" t="s">
        <v>1670</v>
      </c>
      <c r="C172" s="5" t="s">
        <v>1671</v>
      </c>
      <c r="D172" s="5" t="s">
        <v>1672</v>
      </c>
      <c r="E172" s="5" t="s">
        <v>1673</v>
      </c>
      <c r="F172" s="5" t="s">
        <v>1674</v>
      </c>
      <c r="G172" s="5" t="s">
        <v>1113</v>
      </c>
      <c r="H172" s="5" t="s">
        <v>1556</v>
      </c>
      <c r="I172" s="5" t="s">
        <v>1471</v>
      </c>
      <c r="J172" s="5" t="s">
        <v>1675</v>
      </c>
      <c r="K172" s="5" t="s">
        <v>1558</v>
      </c>
      <c r="L172" s="5" t="s">
        <v>51</v>
      </c>
      <c r="M172" s="5" t="s">
        <v>408</v>
      </c>
      <c r="N172" s="5" t="s">
        <v>53</v>
      </c>
      <c r="O172" s="5" t="s">
        <v>67</v>
      </c>
      <c r="P172" s="5" t="n">
        <v>1</v>
      </c>
      <c r="Q172" s="5" t="s">
        <v>1676</v>
      </c>
      <c r="R172" s="5" t="s">
        <v>1677</v>
      </c>
      <c r="S172" s="5" t="s">
        <v>1678</v>
      </c>
      <c r="T172" s="5" t="s">
        <v>180</v>
      </c>
      <c r="U172" s="5" t="s">
        <v>58</v>
      </c>
      <c r="V172" s="5" t="s">
        <v>84</v>
      </c>
    </row>
    <row r="173" customFormat="false" ht="22.35" hidden="false" customHeight="false" outlineLevel="0" collapsed="false">
      <c r="A173" s="5" t="s">
        <v>1679</v>
      </c>
      <c r="B173" s="5" t="s">
        <v>1670</v>
      </c>
      <c r="C173" s="5" t="s">
        <v>1671</v>
      </c>
      <c r="D173" s="5" t="s">
        <v>1680</v>
      </c>
      <c r="E173" s="5" t="s">
        <v>1681</v>
      </c>
      <c r="F173" s="5" t="s">
        <v>1682</v>
      </c>
      <c r="G173" s="5" t="s">
        <v>1113</v>
      </c>
      <c r="H173" s="5" t="s">
        <v>1683</v>
      </c>
      <c r="I173" s="5" t="s">
        <v>578</v>
      </c>
      <c r="J173" s="5" t="s">
        <v>1684</v>
      </c>
      <c r="K173" s="5" t="s">
        <v>1685</v>
      </c>
      <c r="L173" s="5" t="s">
        <v>51</v>
      </c>
      <c r="M173" s="5" t="s">
        <v>79</v>
      </c>
      <c r="N173" s="5" t="s">
        <v>53</v>
      </c>
      <c r="O173" s="5" t="s">
        <v>67</v>
      </c>
      <c r="P173" s="5" t="n">
        <v>1</v>
      </c>
      <c r="Q173" s="5" t="s">
        <v>1686</v>
      </c>
      <c r="R173" s="5" t="s">
        <v>1687</v>
      </c>
      <c r="S173" s="5" t="s">
        <v>1688</v>
      </c>
      <c r="T173" s="5" t="s">
        <v>180</v>
      </c>
      <c r="U173" s="5" t="s">
        <v>58</v>
      </c>
      <c r="V173" s="5" t="s">
        <v>84</v>
      </c>
    </row>
    <row r="174" customFormat="false" ht="22.35" hidden="false" customHeight="false" outlineLevel="0" collapsed="false">
      <c r="A174" s="5" t="s">
        <v>1689</v>
      </c>
      <c r="B174" s="5" t="s">
        <v>1670</v>
      </c>
      <c r="C174" s="5" t="s">
        <v>1671</v>
      </c>
      <c r="D174" s="5" t="s">
        <v>1690</v>
      </c>
      <c r="E174" s="5" t="s">
        <v>1691</v>
      </c>
      <c r="F174" s="5" t="s">
        <v>1692</v>
      </c>
      <c r="G174" s="5" t="s">
        <v>1113</v>
      </c>
      <c r="H174" s="5" t="s">
        <v>1669</v>
      </c>
      <c r="I174" s="5" t="s">
        <v>568</v>
      </c>
      <c r="J174" s="5" t="s">
        <v>1693</v>
      </c>
      <c r="K174" s="5" t="s">
        <v>1694</v>
      </c>
      <c r="L174" s="5" t="s">
        <v>663</v>
      </c>
      <c r="M174" s="5" t="s">
        <v>408</v>
      </c>
      <c r="N174" s="5" t="s">
        <v>53</v>
      </c>
      <c r="O174" s="5" t="s">
        <v>238</v>
      </c>
      <c r="P174" s="5" t="n">
        <v>2</v>
      </c>
      <c r="Q174" s="5" t="s">
        <v>1695</v>
      </c>
      <c r="R174" s="5" t="s">
        <v>1696</v>
      </c>
      <c r="S174" s="5" t="s">
        <v>1697</v>
      </c>
      <c r="T174" s="5" t="s">
        <v>180</v>
      </c>
      <c r="U174" s="5" t="s">
        <v>58</v>
      </c>
      <c r="V174" s="5" t="s">
        <v>51</v>
      </c>
    </row>
    <row r="175" customFormat="false" ht="22.35" hidden="false" customHeight="false" outlineLevel="0" collapsed="false">
      <c r="A175" s="5" t="s">
        <v>1698</v>
      </c>
      <c r="B175" s="5" t="s">
        <v>1670</v>
      </c>
      <c r="C175" s="5" t="s">
        <v>1671</v>
      </c>
      <c r="D175" s="5" t="s">
        <v>1699</v>
      </c>
      <c r="E175" s="5" t="s">
        <v>1700</v>
      </c>
      <c r="F175" s="5" t="s">
        <v>1701</v>
      </c>
      <c r="G175" s="5" t="s">
        <v>1664</v>
      </c>
      <c r="H175" s="5" t="s">
        <v>1679</v>
      </c>
      <c r="I175" s="5" t="s">
        <v>1664</v>
      </c>
      <c r="J175" s="5" t="s">
        <v>1702</v>
      </c>
      <c r="K175" s="5" t="s">
        <v>1703</v>
      </c>
      <c r="L175" s="5" t="s">
        <v>51</v>
      </c>
      <c r="M175" s="5" t="s">
        <v>79</v>
      </c>
      <c r="N175" s="5" t="s">
        <v>53</v>
      </c>
      <c r="O175" s="5" t="s">
        <v>389</v>
      </c>
      <c r="P175" s="5" t="n">
        <v>1</v>
      </c>
      <c r="Q175" s="5" t="s">
        <v>1704</v>
      </c>
      <c r="R175" s="5" t="s">
        <v>1705</v>
      </c>
      <c r="S175" s="5" t="s">
        <v>1612</v>
      </c>
      <c r="T175" s="5" t="s">
        <v>180</v>
      </c>
      <c r="U175" s="5" t="s">
        <v>58</v>
      </c>
      <c r="V175" s="5" t="s">
        <v>84</v>
      </c>
    </row>
    <row r="176" customFormat="false" ht="22.35" hidden="false" customHeight="false" outlineLevel="0" collapsed="false">
      <c r="A176" s="5" t="s">
        <v>1706</v>
      </c>
      <c r="B176" s="5" t="s">
        <v>1670</v>
      </c>
      <c r="C176" s="5" t="s">
        <v>1671</v>
      </c>
      <c r="D176" s="5" t="s">
        <v>1707</v>
      </c>
      <c r="E176" s="5" t="s">
        <v>1708</v>
      </c>
      <c r="F176" s="5" t="s">
        <v>1709</v>
      </c>
      <c r="G176" s="5" t="s">
        <v>1113</v>
      </c>
      <c r="H176" s="5" t="s">
        <v>1710</v>
      </c>
      <c r="I176" s="5" t="s">
        <v>578</v>
      </c>
      <c r="J176" s="5" t="s">
        <v>1711</v>
      </c>
      <c r="K176" s="5" t="s">
        <v>1712</v>
      </c>
      <c r="L176" s="5" t="s">
        <v>84</v>
      </c>
      <c r="M176" s="5" t="s">
        <v>408</v>
      </c>
      <c r="N176" s="5" t="s">
        <v>164</v>
      </c>
      <c r="O176" s="5" t="s">
        <v>831</v>
      </c>
      <c r="P176" s="5" t="n">
        <v>3</v>
      </c>
      <c r="Q176" s="5" t="s">
        <v>1713</v>
      </c>
      <c r="R176" s="5" t="s">
        <v>1714</v>
      </c>
      <c r="S176" s="5" t="s">
        <v>1688</v>
      </c>
      <c r="T176" s="5" t="s">
        <v>180</v>
      </c>
      <c r="U176" s="5" t="s">
        <v>774</v>
      </c>
      <c r="V176" s="5" t="s">
        <v>84</v>
      </c>
    </row>
    <row r="177" customFormat="false" ht="22.35" hidden="false" customHeight="false" outlineLevel="0" collapsed="false">
      <c r="A177" s="5" t="s">
        <v>1715</v>
      </c>
      <c r="B177" s="5" t="s">
        <v>1716</v>
      </c>
      <c r="C177" s="5" t="s">
        <v>1717</v>
      </c>
      <c r="D177" s="5" t="s">
        <v>1718</v>
      </c>
      <c r="E177" s="5" t="s">
        <v>1719</v>
      </c>
      <c r="F177" s="5" t="s">
        <v>1720</v>
      </c>
      <c r="G177" s="5" t="s">
        <v>1113</v>
      </c>
      <c r="H177" s="5" t="s">
        <v>698</v>
      </c>
      <c r="I177" s="5" t="s">
        <v>568</v>
      </c>
      <c r="J177" s="5" t="s">
        <v>152</v>
      </c>
      <c r="K177" s="5" t="s">
        <v>1484</v>
      </c>
      <c r="L177" s="5" t="s">
        <v>84</v>
      </c>
      <c r="M177" s="5" t="s">
        <v>408</v>
      </c>
      <c r="N177" s="5" t="s">
        <v>53</v>
      </c>
      <c r="O177" s="5" t="s">
        <v>67</v>
      </c>
      <c r="P177" s="5" t="n">
        <v>1</v>
      </c>
      <c r="Q177" s="5" t="s">
        <v>1721</v>
      </c>
      <c r="R177" s="5" t="s">
        <v>1722</v>
      </c>
      <c r="S177" s="5" t="s">
        <v>1723</v>
      </c>
      <c r="T177" s="5" t="s">
        <v>180</v>
      </c>
      <c r="U177" s="5" t="s">
        <v>58</v>
      </c>
      <c r="V177" s="5" t="s">
        <v>51</v>
      </c>
    </row>
    <row r="178" customFormat="false" ht="22.35" hidden="false" customHeight="false" outlineLevel="0" collapsed="false">
      <c r="A178" s="5" t="s">
        <v>1724</v>
      </c>
      <c r="B178" s="5" t="s">
        <v>1716</v>
      </c>
      <c r="C178" s="5" t="s">
        <v>1717</v>
      </c>
      <c r="D178" s="5" t="s">
        <v>1725</v>
      </c>
      <c r="E178" s="5" t="s">
        <v>1726</v>
      </c>
      <c r="F178" s="5" t="s">
        <v>1727</v>
      </c>
      <c r="G178" s="5" t="s">
        <v>1113</v>
      </c>
      <c r="H178" s="5" t="s">
        <v>1715</v>
      </c>
      <c r="I178" s="5" t="s">
        <v>1329</v>
      </c>
      <c r="J178" s="5" t="s">
        <v>1725</v>
      </c>
      <c r="K178" s="5" t="s">
        <v>1728</v>
      </c>
      <c r="L178" s="5" t="s">
        <v>51</v>
      </c>
      <c r="M178" s="5" t="s">
        <v>408</v>
      </c>
      <c r="N178" s="5" t="s">
        <v>164</v>
      </c>
      <c r="O178" s="5" t="s">
        <v>1397</v>
      </c>
      <c r="P178" s="5" t="n">
        <v>4</v>
      </c>
      <c r="Q178" s="5" t="s">
        <v>1729</v>
      </c>
      <c r="R178" s="5" t="s">
        <v>1730</v>
      </c>
      <c r="S178" s="5" t="s">
        <v>1731</v>
      </c>
      <c r="T178" s="5" t="s">
        <v>180</v>
      </c>
      <c r="U178" s="5" t="s">
        <v>58</v>
      </c>
      <c r="V178" s="5" t="s">
        <v>51</v>
      </c>
    </row>
    <row r="179" customFormat="false" ht="22.35" hidden="false" customHeight="false" outlineLevel="0" collapsed="false">
      <c r="A179" s="5" t="s">
        <v>1732</v>
      </c>
      <c r="B179" s="5" t="s">
        <v>1716</v>
      </c>
      <c r="C179" s="5" t="s">
        <v>1717</v>
      </c>
      <c r="D179" s="5" t="s">
        <v>1733</v>
      </c>
      <c r="E179" s="5" t="s">
        <v>1734</v>
      </c>
      <c r="F179" s="5" t="s">
        <v>1735</v>
      </c>
      <c r="G179" s="5" t="s">
        <v>1113</v>
      </c>
      <c r="H179" s="5" t="s">
        <v>1715</v>
      </c>
      <c r="I179" s="5" t="s">
        <v>1329</v>
      </c>
      <c r="J179" s="5" t="s">
        <v>1736</v>
      </c>
      <c r="K179" s="5" t="s">
        <v>1647</v>
      </c>
      <c r="L179" s="5" t="s">
        <v>51</v>
      </c>
      <c r="M179" s="5" t="s">
        <v>408</v>
      </c>
      <c r="N179" s="5" t="s">
        <v>53</v>
      </c>
      <c r="O179" s="5" t="s">
        <v>67</v>
      </c>
      <c r="P179" s="5" t="n">
        <v>1</v>
      </c>
      <c r="Q179" s="5" t="s">
        <v>1737</v>
      </c>
      <c r="R179" s="5" t="s">
        <v>1738</v>
      </c>
      <c r="S179" s="5" t="s">
        <v>1739</v>
      </c>
      <c r="T179" s="5" t="s">
        <v>180</v>
      </c>
      <c r="U179" s="5" t="s">
        <v>58</v>
      </c>
      <c r="V179" s="5" t="s">
        <v>84</v>
      </c>
    </row>
    <row r="180" customFormat="false" ht="22.35" hidden="false" customHeight="false" outlineLevel="0" collapsed="false">
      <c r="A180" s="5" t="s">
        <v>1740</v>
      </c>
      <c r="B180" s="5" t="s">
        <v>1716</v>
      </c>
      <c r="C180" s="5" t="s">
        <v>1717</v>
      </c>
      <c r="D180" s="5" t="s">
        <v>1741</v>
      </c>
      <c r="E180" s="5" t="s">
        <v>1742</v>
      </c>
      <c r="F180" s="5" t="s">
        <v>1743</v>
      </c>
      <c r="G180" s="5" t="s">
        <v>1113</v>
      </c>
      <c r="H180" s="5" t="s">
        <v>1744</v>
      </c>
      <c r="I180" s="5" t="s">
        <v>693</v>
      </c>
      <c r="J180" s="5" t="s">
        <v>1745</v>
      </c>
      <c r="K180" s="5" t="s">
        <v>1746</v>
      </c>
      <c r="L180" s="5" t="s">
        <v>51</v>
      </c>
      <c r="M180" s="5" t="s">
        <v>408</v>
      </c>
      <c r="N180" s="5" t="s">
        <v>164</v>
      </c>
      <c r="O180" s="5" t="s">
        <v>1747</v>
      </c>
      <c r="P180" s="5" t="n">
        <v>3</v>
      </c>
      <c r="Q180" s="5" t="s">
        <v>1748</v>
      </c>
      <c r="R180" s="5" t="s">
        <v>1749</v>
      </c>
      <c r="S180" s="5" t="s">
        <v>492</v>
      </c>
      <c r="T180" s="5" t="s">
        <v>180</v>
      </c>
      <c r="U180" s="5" t="s">
        <v>532</v>
      </c>
      <c r="V180" s="5" t="s">
        <v>51</v>
      </c>
    </row>
    <row r="181" customFormat="false" ht="22.35" hidden="false" customHeight="false" outlineLevel="0" collapsed="false">
      <c r="A181" s="5" t="s">
        <v>1750</v>
      </c>
      <c r="B181" s="5" t="s">
        <v>1716</v>
      </c>
      <c r="C181" s="5" t="s">
        <v>1717</v>
      </c>
      <c r="D181" s="5" t="s">
        <v>1751</v>
      </c>
      <c r="E181" s="5" t="s">
        <v>1752</v>
      </c>
      <c r="F181" s="5" t="s">
        <v>1753</v>
      </c>
      <c r="G181" s="5" t="s">
        <v>1113</v>
      </c>
      <c r="H181" s="5" t="s">
        <v>1715</v>
      </c>
      <c r="I181" s="5" t="s">
        <v>1329</v>
      </c>
      <c r="J181" s="5" t="s">
        <v>1754</v>
      </c>
      <c r="K181" s="5" t="s">
        <v>1755</v>
      </c>
      <c r="L181" s="5" t="s">
        <v>51</v>
      </c>
      <c r="M181" s="5" t="s">
        <v>408</v>
      </c>
      <c r="N181" s="5" t="s">
        <v>53</v>
      </c>
      <c r="O181" s="5" t="s">
        <v>67</v>
      </c>
      <c r="P181" s="5" t="n">
        <v>1</v>
      </c>
      <c r="Q181" s="5" t="s">
        <v>1756</v>
      </c>
      <c r="R181" s="5" t="s">
        <v>1757</v>
      </c>
      <c r="S181" s="5" t="s">
        <v>1758</v>
      </c>
      <c r="T181" s="5" t="s">
        <v>180</v>
      </c>
      <c r="U181" s="5" t="s">
        <v>58</v>
      </c>
      <c r="V181" s="5" t="s">
        <v>84</v>
      </c>
    </row>
    <row r="182" customFormat="false" ht="22.35" hidden="false" customHeight="false" outlineLevel="0" collapsed="false">
      <c r="A182" s="5" t="s">
        <v>1759</v>
      </c>
      <c r="B182" s="5" t="s">
        <v>1760</v>
      </c>
      <c r="C182" s="5" t="s">
        <v>1761</v>
      </c>
      <c r="D182" s="5" t="s">
        <v>1762</v>
      </c>
      <c r="E182" s="5" t="s">
        <v>1763</v>
      </c>
      <c r="F182" s="5" t="s">
        <v>1764</v>
      </c>
      <c r="G182" s="5" t="s">
        <v>1113</v>
      </c>
      <c r="H182" s="5" t="s">
        <v>263</v>
      </c>
      <c r="I182" s="5" t="s">
        <v>196</v>
      </c>
      <c r="J182" s="5" t="s">
        <v>1765</v>
      </c>
      <c r="K182" s="5" t="s">
        <v>685</v>
      </c>
      <c r="L182" s="5" t="s">
        <v>84</v>
      </c>
      <c r="M182" s="5" t="s">
        <v>408</v>
      </c>
      <c r="N182" s="5" t="s">
        <v>53</v>
      </c>
      <c r="O182" s="5" t="s">
        <v>67</v>
      </c>
      <c r="P182" s="5" t="n">
        <v>1</v>
      </c>
      <c r="Q182" s="5" t="s">
        <v>318</v>
      </c>
      <c r="R182" s="5" t="s">
        <v>1766</v>
      </c>
      <c r="S182" s="5" t="s">
        <v>999</v>
      </c>
      <c r="T182" s="5" t="s">
        <v>180</v>
      </c>
      <c r="U182" s="5" t="s">
        <v>774</v>
      </c>
      <c r="V182" s="5" t="s">
        <v>51</v>
      </c>
    </row>
    <row r="183" customFormat="false" ht="22.35" hidden="false" customHeight="false" outlineLevel="0" collapsed="false">
      <c r="A183" s="5" t="s">
        <v>1767</v>
      </c>
      <c r="B183" s="5" t="s">
        <v>1760</v>
      </c>
      <c r="C183" s="5" t="s">
        <v>1761</v>
      </c>
      <c r="D183" s="5" t="s">
        <v>1768</v>
      </c>
      <c r="E183" s="5" t="s">
        <v>1769</v>
      </c>
      <c r="F183" s="5" t="s">
        <v>1770</v>
      </c>
      <c r="G183" s="5" t="s">
        <v>1113</v>
      </c>
      <c r="H183" s="5" t="s">
        <v>1771</v>
      </c>
      <c r="I183" s="5" t="s">
        <v>568</v>
      </c>
      <c r="J183" s="5" t="s">
        <v>1772</v>
      </c>
      <c r="K183" s="5" t="s">
        <v>1773</v>
      </c>
      <c r="L183" s="5" t="s">
        <v>51</v>
      </c>
      <c r="M183" s="5" t="s">
        <v>408</v>
      </c>
      <c r="N183" s="5" t="s">
        <v>781</v>
      </c>
      <c r="O183" s="5" t="s">
        <v>1774</v>
      </c>
      <c r="P183" s="5" t="n">
        <v>18</v>
      </c>
      <c r="Q183" s="5" t="s">
        <v>1775</v>
      </c>
      <c r="R183" s="5" t="s">
        <v>1776</v>
      </c>
      <c r="S183" s="5" t="s">
        <v>1513</v>
      </c>
      <c r="T183" s="5" t="s">
        <v>180</v>
      </c>
      <c r="U183" s="5" t="s">
        <v>774</v>
      </c>
      <c r="V183" s="5" t="s">
        <v>51</v>
      </c>
    </row>
    <row r="184" customFormat="false" ht="22.35" hidden="false" customHeight="false" outlineLevel="0" collapsed="false">
      <c r="A184" s="5" t="s">
        <v>1777</v>
      </c>
      <c r="B184" s="5" t="s">
        <v>1760</v>
      </c>
      <c r="C184" s="5" t="s">
        <v>1761</v>
      </c>
      <c r="D184" s="5" t="s">
        <v>1778</v>
      </c>
      <c r="E184" s="5" t="s">
        <v>1779</v>
      </c>
      <c r="F184" s="5" t="s">
        <v>1780</v>
      </c>
      <c r="G184" s="5" t="s">
        <v>1113</v>
      </c>
      <c r="H184" s="5" t="s">
        <v>1767</v>
      </c>
      <c r="I184" s="5" t="s">
        <v>1329</v>
      </c>
      <c r="J184" s="5" t="s">
        <v>1778</v>
      </c>
      <c r="K184" s="5" t="s">
        <v>1781</v>
      </c>
      <c r="L184" s="5" t="s">
        <v>51</v>
      </c>
      <c r="M184" s="5" t="s">
        <v>66</v>
      </c>
      <c r="N184" s="5" t="s">
        <v>164</v>
      </c>
      <c r="O184" s="5" t="s">
        <v>379</v>
      </c>
      <c r="P184" s="5" t="n">
        <v>4</v>
      </c>
      <c r="Q184" s="5" t="s">
        <v>1782</v>
      </c>
      <c r="R184" s="5" t="s">
        <v>1783</v>
      </c>
      <c r="S184" s="5" t="s">
        <v>1784</v>
      </c>
      <c r="T184" s="5" t="s">
        <v>180</v>
      </c>
      <c r="U184" s="5" t="s">
        <v>774</v>
      </c>
      <c r="V184" s="5" t="s">
        <v>51</v>
      </c>
    </row>
    <row r="185" customFormat="false" ht="22.35" hidden="false" customHeight="false" outlineLevel="0" collapsed="false">
      <c r="A185" s="5" t="s">
        <v>1785</v>
      </c>
      <c r="B185" s="5" t="s">
        <v>1760</v>
      </c>
      <c r="C185" s="5" t="s">
        <v>1761</v>
      </c>
      <c r="D185" s="5" t="s">
        <v>1786</v>
      </c>
      <c r="E185" s="5" t="s">
        <v>1787</v>
      </c>
      <c r="F185" s="5" t="s">
        <v>1788</v>
      </c>
      <c r="G185" s="5" t="s">
        <v>1113</v>
      </c>
      <c r="H185" s="5" t="s">
        <v>1767</v>
      </c>
      <c r="I185" s="5" t="s">
        <v>1329</v>
      </c>
      <c r="J185" s="5" t="s">
        <v>1789</v>
      </c>
      <c r="K185" s="5" t="s">
        <v>1790</v>
      </c>
      <c r="L185" s="5" t="s">
        <v>51</v>
      </c>
      <c r="M185" s="5" t="s">
        <v>66</v>
      </c>
      <c r="N185" s="5" t="s">
        <v>53</v>
      </c>
      <c r="O185" s="5" t="s">
        <v>238</v>
      </c>
      <c r="P185" s="5" t="n">
        <v>2</v>
      </c>
      <c r="Q185" s="5" t="s">
        <v>1791</v>
      </c>
      <c r="R185" s="5" t="s">
        <v>1792</v>
      </c>
      <c r="S185" s="5" t="s">
        <v>1793</v>
      </c>
      <c r="T185" s="5" t="s">
        <v>180</v>
      </c>
      <c r="U185" s="5" t="s">
        <v>774</v>
      </c>
      <c r="V185" s="5" t="s">
        <v>51</v>
      </c>
    </row>
    <row r="186" customFormat="false" ht="22.35" hidden="false" customHeight="false" outlineLevel="0" collapsed="false">
      <c r="A186" s="5" t="s">
        <v>1794</v>
      </c>
      <c r="B186" s="5" t="s">
        <v>1795</v>
      </c>
      <c r="C186" s="5" t="s">
        <v>1796</v>
      </c>
      <c r="D186" s="5" t="s">
        <v>1797</v>
      </c>
      <c r="E186" s="5" t="s">
        <v>1798</v>
      </c>
      <c r="F186" s="5" t="s">
        <v>1799</v>
      </c>
      <c r="G186" s="5" t="s">
        <v>1113</v>
      </c>
      <c r="H186" s="5" t="s">
        <v>263</v>
      </c>
      <c r="I186" s="5" t="s">
        <v>1800</v>
      </c>
      <c r="J186" s="5" t="s">
        <v>152</v>
      </c>
      <c r="K186" s="5" t="s">
        <v>1484</v>
      </c>
      <c r="L186" s="5" t="s">
        <v>84</v>
      </c>
      <c r="M186" s="5" t="s">
        <v>408</v>
      </c>
      <c r="N186" s="5" t="s">
        <v>164</v>
      </c>
      <c r="O186" s="5" t="s">
        <v>238</v>
      </c>
      <c r="P186" s="5" t="n">
        <v>2</v>
      </c>
      <c r="Q186" s="5" t="s">
        <v>1801</v>
      </c>
      <c r="R186" s="5" t="s">
        <v>1802</v>
      </c>
      <c r="S186" s="5" t="s">
        <v>1803</v>
      </c>
      <c r="T186" s="5" t="s">
        <v>180</v>
      </c>
      <c r="U186" s="5" t="s">
        <v>774</v>
      </c>
      <c r="V186" s="5" t="s">
        <v>51</v>
      </c>
    </row>
    <row r="187" customFormat="false" ht="22.35" hidden="false" customHeight="false" outlineLevel="0" collapsed="false">
      <c r="A187" s="5" t="s">
        <v>1804</v>
      </c>
      <c r="B187" s="5" t="s">
        <v>1795</v>
      </c>
      <c r="C187" s="5" t="s">
        <v>1796</v>
      </c>
      <c r="D187" s="5" t="s">
        <v>1805</v>
      </c>
      <c r="E187" s="5" t="s">
        <v>1806</v>
      </c>
      <c r="F187" s="5" t="s">
        <v>1807</v>
      </c>
      <c r="G187" s="5" t="s">
        <v>1113</v>
      </c>
      <c r="H187" s="5" t="s">
        <v>1808</v>
      </c>
      <c r="I187" s="5" t="s">
        <v>1809</v>
      </c>
      <c r="J187" s="5" t="s">
        <v>1810</v>
      </c>
      <c r="K187" s="5" t="s">
        <v>1811</v>
      </c>
      <c r="L187" s="5" t="s">
        <v>51</v>
      </c>
      <c r="M187" s="5" t="s">
        <v>408</v>
      </c>
      <c r="N187" s="5" t="s">
        <v>164</v>
      </c>
      <c r="O187" s="5" t="s">
        <v>1812</v>
      </c>
      <c r="P187" s="5" t="n">
        <v>5</v>
      </c>
      <c r="Q187" s="5" t="s">
        <v>1813</v>
      </c>
      <c r="R187" s="5" t="s">
        <v>1814</v>
      </c>
      <c r="S187" s="5" t="s">
        <v>1815</v>
      </c>
      <c r="T187" s="5" t="s">
        <v>180</v>
      </c>
      <c r="U187" s="5" t="s">
        <v>774</v>
      </c>
      <c r="V187" s="5" t="s">
        <v>84</v>
      </c>
    </row>
    <row r="188" customFormat="false" ht="22.35" hidden="false" customHeight="false" outlineLevel="0" collapsed="false">
      <c r="A188" s="5" t="s">
        <v>1816</v>
      </c>
      <c r="B188" s="5" t="s">
        <v>1795</v>
      </c>
      <c r="C188" s="5" t="s">
        <v>1796</v>
      </c>
      <c r="D188" s="5" t="s">
        <v>1817</v>
      </c>
      <c r="E188" s="5" t="s">
        <v>1818</v>
      </c>
      <c r="F188" s="5" t="s">
        <v>1819</v>
      </c>
      <c r="G188" s="5" t="s">
        <v>1113</v>
      </c>
      <c r="H188" s="5" t="s">
        <v>1820</v>
      </c>
      <c r="I188" s="5" t="s">
        <v>568</v>
      </c>
      <c r="J188" s="5" t="s">
        <v>1821</v>
      </c>
      <c r="K188" s="5" t="s">
        <v>1822</v>
      </c>
      <c r="L188" s="5" t="s">
        <v>51</v>
      </c>
      <c r="M188" s="5" t="s">
        <v>408</v>
      </c>
      <c r="N188" s="5" t="s">
        <v>781</v>
      </c>
      <c r="O188" s="5" t="s">
        <v>1823</v>
      </c>
      <c r="P188" s="5" t="n">
        <v>15</v>
      </c>
      <c r="Q188" s="5" t="s">
        <v>1824</v>
      </c>
      <c r="R188" s="5" t="s">
        <v>1825</v>
      </c>
      <c r="S188" s="5" t="s">
        <v>1826</v>
      </c>
      <c r="T188" s="5" t="s">
        <v>180</v>
      </c>
      <c r="U188" s="5" t="s">
        <v>774</v>
      </c>
      <c r="V188" s="5" t="s">
        <v>51</v>
      </c>
    </row>
    <row r="189" customFormat="false" ht="22.35" hidden="false" customHeight="false" outlineLevel="0" collapsed="false">
      <c r="A189" s="5" t="s">
        <v>1827</v>
      </c>
      <c r="B189" s="5" t="s">
        <v>1795</v>
      </c>
      <c r="C189" s="5" t="s">
        <v>1796</v>
      </c>
      <c r="D189" s="5" t="s">
        <v>1828</v>
      </c>
      <c r="E189" s="5" t="s">
        <v>1829</v>
      </c>
      <c r="F189" s="5" t="s">
        <v>1830</v>
      </c>
      <c r="G189" s="5" t="s">
        <v>1113</v>
      </c>
      <c r="H189" s="5" t="s">
        <v>1816</v>
      </c>
      <c r="I189" s="5" t="s">
        <v>1329</v>
      </c>
      <c r="J189" s="5" t="s">
        <v>1831</v>
      </c>
      <c r="K189" s="5" t="s">
        <v>1832</v>
      </c>
      <c r="L189" s="5" t="s">
        <v>84</v>
      </c>
      <c r="M189" s="5" t="s">
        <v>408</v>
      </c>
      <c r="N189" s="5" t="s">
        <v>164</v>
      </c>
      <c r="O189" s="5" t="s">
        <v>950</v>
      </c>
      <c r="P189" s="5" t="n">
        <v>5</v>
      </c>
      <c r="Q189" s="5" t="s">
        <v>1833</v>
      </c>
      <c r="R189" s="5" t="s">
        <v>1834</v>
      </c>
      <c r="S189" s="5" t="s">
        <v>1835</v>
      </c>
      <c r="T189" s="5" t="s">
        <v>180</v>
      </c>
      <c r="U189" s="5" t="s">
        <v>774</v>
      </c>
      <c r="V189" s="5" t="s">
        <v>51</v>
      </c>
    </row>
    <row r="190" customFormat="false" ht="22.35" hidden="false" customHeight="false" outlineLevel="0" collapsed="false">
      <c r="A190" s="5" t="s">
        <v>1836</v>
      </c>
      <c r="B190" s="5" t="s">
        <v>1795</v>
      </c>
      <c r="C190" s="5" t="s">
        <v>1796</v>
      </c>
      <c r="D190" s="5" t="s">
        <v>1837</v>
      </c>
      <c r="E190" s="5" t="s">
        <v>1838</v>
      </c>
      <c r="F190" s="5" t="s">
        <v>1839</v>
      </c>
      <c r="G190" s="5" t="s">
        <v>1113</v>
      </c>
      <c r="H190" s="5" t="s">
        <v>1804</v>
      </c>
      <c r="I190" s="5" t="s">
        <v>1329</v>
      </c>
      <c r="J190" s="5" t="s">
        <v>1840</v>
      </c>
      <c r="K190" s="5" t="s">
        <v>1841</v>
      </c>
      <c r="L190" s="5" t="s">
        <v>84</v>
      </c>
      <c r="M190" s="5" t="s">
        <v>408</v>
      </c>
      <c r="N190" s="5" t="s">
        <v>164</v>
      </c>
      <c r="O190" s="5" t="s">
        <v>831</v>
      </c>
      <c r="P190" s="5" t="n">
        <v>3</v>
      </c>
      <c r="Q190" s="5" t="s">
        <v>1842</v>
      </c>
      <c r="R190" s="5" t="s">
        <v>1843</v>
      </c>
      <c r="S190" s="5" t="s">
        <v>1844</v>
      </c>
      <c r="T190" s="5" t="s">
        <v>180</v>
      </c>
      <c r="U190" s="5" t="s">
        <v>774</v>
      </c>
      <c r="V190" s="5" t="s">
        <v>84</v>
      </c>
    </row>
    <row r="191" customFormat="false" ht="43.25" hidden="false" customHeight="false" outlineLevel="0" collapsed="false">
      <c r="A191" s="5" t="s">
        <v>1845</v>
      </c>
      <c r="B191" s="5" t="s">
        <v>1795</v>
      </c>
      <c r="C191" s="5" t="s">
        <v>1796</v>
      </c>
      <c r="D191" s="5" t="s">
        <v>1846</v>
      </c>
      <c r="E191" s="5" t="s">
        <v>1847</v>
      </c>
      <c r="F191" s="5" t="s">
        <v>1848</v>
      </c>
      <c r="G191" s="5" t="s">
        <v>1113</v>
      </c>
      <c r="H191" s="5" t="s">
        <v>1849</v>
      </c>
      <c r="I191" s="5" t="s">
        <v>1645</v>
      </c>
      <c r="J191" s="5" t="s">
        <v>1850</v>
      </c>
      <c r="K191" s="5" t="s">
        <v>1851</v>
      </c>
      <c r="L191" s="5" t="s">
        <v>84</v>
      </c>
      <c r="M191" s="5" t="s">
        <v>408</v>
      </c>
      <c r="N191" s="5" t="s">
        <v>53</v>
      </c>
      <c r="O191" s="5" t="s">
        <v>238</v>
      </c>
      <c r="P191" s="5" t="n">
        <v>2</v>
      </c>
      <c r="Q191" s="5" t="s">
        <v>1852</v>
      </c>
      <c r="R191" s="5" t="s">
        <v>1853</v>
      </c>
      <c r="S191" s="5" t="s">
        <v>1854</v>
      </c>
      <c r="T191" s="5" t="s">
        <v>180</v>
      </c>
      <c r="U191" s="5" t="s">
        <v>58</v>
      </c>
      <c r="V191" s="5" t="s">
        <v>84</v>
      </c>
    </row>
    <row r="192" customFormat="false" ht="22.35" hidden="false" customHeight="false" outlineLevel="0" collapsed="false">
      <c r="A192" s="5" t="s">
        <v>1855</v>
      </c>
      <c r="B192" s="5" t="s">
        <v>1795</v>
      </c>
      <c r="C192" s="5" t="s">
        <v>1796</v>
      </c>
      <c r="D192" s="5" t="s">
        <v>1856</v>
      </c>
      <c r="E192" s="5" t="s">
        <v>1857</v>
      </c>
      <c r="F192" s="5" t="s">
        <v>1858</v>
      </c>
      <c r="G192" s="5" t="s">
        <v>1113</v>
      </c>
      <c r="H192" s="5" t="s">
        <v>1669</v>
      </c>
      <c r="I192" s="5" t="s">
        <v>1329</v>
      </c>
      <c r="J192" s="5" t="s">
        <v>1859</v>
      </c>
      <c r="K192" s="5" t="s">
        <v>1860</v>
      </c>
      <c r="L192" s="5" t="s">
        <v>51</v>
      </c>
      <c r="M192" s="5" t="s">
        <v>408</v>
      </c>
      <c r="N192" s="5" t="s">
        <v>164</v>
      </c>
      <c r="O192" s="5" t="s">
        <v>379</v>
      </c>
      <c r="P192" s="5" t="n">
        <v>4</v>
      </c>
      <c r="Q192" s="5" t="s">
        <v>1861</v>
      </c>
      <c r="R192" s="5" t="s">
        <v>1862</v>
      </c>
      <c r="S192" s="5" t="s">
        <v>1863</v>
      </c>
      <c r="T192" s="5" t="s">
        <v>180</v>
      </c>
      <c r="U192" s="5" t="s">
        <v>774</v>
      </c>
      <c r="V192" s="5" t="s">
        <v>84</v>
      </c>
    </row>
    <row r="193" customFormat="false" ht="22.35" hidden="false" customHeight="false" outlineLevel="0" collapsed="false">
      <c r="A193" s="5" t="s">
        <v>1864</v>
      </c>
      <c r="B193" s="5" t="s">
        <v>1865</v>
      </c>
      <c r="C193" s="5" t="s">
        <v>1866</v>
      </c>
      <c r="D193" s="5" t="s">
        <v>1867</v>
      </c>
      <c r="E193" s="5" t="s">
        <v>1868</v>
      </c>
      <c r="F193" s="5" t="s">
        <v>1869</v>
      </c>
      <c r="G193" s="5" t="s">
        <v>1113</v>
      </c>
      <c r="H193" s="5" t="s">
        <v>263</v>
      </c>
      <c r="I193" s="5" t="s">
        <v>196</v>
      </c>
      <c r="J193" s="5" t="s">
        <v>152</v>
      </c>
      <c r="K193" s="5" t="s">
        <v>1484</v>
      </c>
      <c r="L193" s="5" t="s">
        <v>84</v>
      </c>
      <c r="M193" s="5" t="s">
        <v>408</v>
      </c>
      <c r="N193" s="5" t="s">
        <v>53</v>
      </c>
      <c r="O193" s="5" t="s">
        <v>67</v>
      </c>
      <c r="P193" s="5" t="n">
        <v>1</v>
      </c>
      <c r="Q193" s="5" t="s">
        <v>1870</v>
      </c>
      <c r="R193" s="5" t="s">
        <v>1871</v>
      </c>
      <c r="S193" s="5" t="s">
        <v>999</v>
      </c>
      <c r="T193" s="5" t="s">
        <v>180</v>
      </c>
      <c r="U193" s="5" t="s">
        <v>774</v>
      </c>
      <c r="V193" s="5" t="s">
        <v>51</v>
      </c>
    </row>
    <row r="194" customFormat="false" ht="22.35" hidden="false" customHeight="false" outlineLevel="0" collapsed="false">
      <c r="A194" s="5" t="s">
        <v>1872</v>
      </c>
      <c r="B194" s="5" t="s">
        <v>1865</v>
      </c>
      <c r="C194" s="5" t="s">
        <v>1866</v>
      </c>
      <c r="D194" s="5" t="s">
        <v>1873</v>
      </c>
      <c r="E194" s="5" t="s">
        <v>1874</v>
      </c>
      <c r="F194" s="5" t="s">
        <v>1875</v>
      </c>
      <c r="G194" s="5" t="s">
        <v>1113</v>
      </c>
      <c r="H194" s="5" t="s">
        <v>1864</v>
      </c>
      <c r="I194" s="5" t="s">
        <v>1329</v>
      </c>
      <c r="J194" s="5" t="s">
        <v>1876</v>
      </c>
      <c r="K194" s="5" t="s">
        <v>1877</v>
      </c>
      <c r="L194" s="5" t="s">
        <v>84</v>
      </c>
      <c r="M194" s="5" t="s">
        <v>408</v>
      </c>
      <c r="N194" s="5" t="s">
        <v>164</v>
      </c>
      <c r="O194" s="5" t="s">
        <v>831</v>
      </c>
      <c r="P194" s="5" t="n">
        <v>3</v>
      </c>
      <c r="Q194" s="5" t="s">
        <v>1878</v>
      </c>
      <c r="R194" s="5" t="s">
        <v>1879</v>
      </c>
      <c r="S194" s="5" t="s">
        <v>1880</v>
      </c>
      <c r="T194" s="5" t="s">
        <v>180</v>
      </c>
      <c r="U194" s="5" t="s">
        <v>774</v>
      </c>
      <c r="V194" s="5" t="s">
        <v>84</v>
      </c>
    </row>
    <row r="195" customFormat="false" ht="22.35" hidden="false" customHeight="false" outlineLevel="0" collapsed="false">
      <c r="A195" s="5" t="s">
        <v>1881</v>
      </c>
      <c r="B195" s="5" t="s">
        <v>1865</v>
      </c>
      <c r="C195" s="5" t="s">
        <v>1866</v>
      </c>
      <c r="D195" s="5" t="s">
        <v>1882</v>
      </c>
      <c r="E195" s="5" t="s">
        <v>1883</v>
      </c>
      <c r="F195" s="5" t="s">
        <v>1884</v>
      </c>
      <c r="G195" s="5" t="s">
        <v>1113</v>
      </c>
      <c r="H195" s="5" t="s">
        <v>1885</v>
      </c>
      <c r="I195" s="5" t="s">
        <v>1329</v>
      </c>
      <c r="J195" s="5" t="s">
        <v>1693</v>
      </c>
      <c r="K195" s="5" t="s">
        <v>1886</v>
      </c>
      <c r="L195" s="5" t="s">
        <v>51</v>
      </c>
      <c r="M195" s="5" t="s">
        <v>408</v>
      </c>
      <c r="N195" s="5" t="s">
        <v>164</v>
      </c>
      <c r="O195" s="5" t="s">
        <v>361</v>
      </c>
      <c r="P195" s="5" t="n">
        <v>2</v>
      </c>
      <c r="Q195" s="5" t="s">
        <v>1887</v>
      </c>
      <c r="R195" s="5" t="s">
        <v>1888</v>
      </c>
      <c r="S195" s="5" t="s">
        <v>1889</v>
      </c>
      <c r="T195" s="5" t="s">
        <v>180</v>
      </c>
      <c r="U195" s="5" t="s">
        <v>774</v>
      </c>
      <c r="V195" s="5" t="s">
        <v>84</v>
      </c>
    </row>
    <row r="196" customFormat="false" ht="22.35" hidden="false" customHeight="false" outlineLevel="0" collapsed="false">
      <c r="A196" s="5" t="s">
        <v>1890</v>
      </c>
      <c r="B196" s="5" t="s">
        <v>1865</v>
      </c>
      <c r="C196" s="5" t="s">
        <v>1866</v>
      </c>
      <c r="D196" s="5" t="s">
        <v>1891</v>
      </c>
      <c r="E196" s="5" t="s">
        <v>1892</v>
      </c>
      <c r="F196" s="5" t="s">
        <v>1893</v>
      </c>
      <c r="G196" s="5" t="s">
        <v>1113</v>
      </c>
      <c r="H196" s="5" t="s">
        <v>1872</v>
      </c>
      <c r="I196" s="5" t="s">
        <v>1329</v>
      </c>
      <c r="J196" s="5" t="s">
        <v>1894</v>
      </c>
      <c r="K196" s="5" t="s">
        <v>1895</v>
      </c>
      <c r="L196" s="5" t="s">
        <v>51</v>
      </c>
      <c r="M196" s="5" t="s">
        <v>408</v>
      </c>
      <c r="N196" s="5" t="s">
        <v>164</v>
      </c>
      <c r="O196" s="5" t="s">
        <v>361</v>
      </c>
      <c r="P196" s="5" t="n">
        <v>2</v>
      </c>
      <c r="Q196" s="5" t="s">
        <v>1896</v>
      </c>
      <c r="R196" s="5" t="s">
        <v>1897</v>
      </c>
      <c r="S196" s="5" t="s">
        <v>1898</v>
      </c>
      <c r="T196" s="5" t="s">
        <v>180</v>
      </c>
      <c r="U196" s="5" t="s">
        <v>774</v>
      </c>
      <c r="V196" s="5" t="s">
        <v>84</v>
      </c>
    </row>
    <row r="197" customFormat="false" ht="22.35" hidden="false" customHeight="false" outlineLevel="0" collapsed="false">
      <c r="A197" s="5" t="s">
        <v>1899</v>
      </c>
      <c r="B197" s="5" t="s">
        <v>1900</v>
      </c>
      <c r="C197" s="5" t="s">
        <v>1901</v>
      </c>
      <c r="D197" s="5" t="s">
        <v>1902</v>
      </c>
      <c r="E197" s="5" t="s">
        <v>1903</v>
      </c>
      <c r="F197" s="5" t="s">
        <v>1904</v>
      </c>
      <c r="G197" s="5" t="s">
        <v>1113</v>
      </c>
      <c r="H197" s="5" t="s">
        <v>1556</v>
      </c>
      <c r="I197" s="5" t="s">
        <v>1905</v>
      </c>
      <c r="J197" s="5" t="s">
        <v>1906</v>
      </c>
      <c r="K197" s="5" t="s">
        <v>1907</v>
      </c>
      <c r="L197" s="5" t="s">
        <v>84</v>
      </c>
      <c r="M197" s="5" t="s">
        <v>408</v>
      </c>
      <c r="N197" s="5" t="s">
        <v>53</v>
      </c>
      <c r="O197" s="5" t="s">
        <v>1908</v>
      </c>
      <c r="P197" s="5" t="n">
        <v>1</v>
      </c>
      <c r="Q197" s="5" t="s">
        <v>1909</v>
      </c>
      <c r="R197" s="5" t="s">
        <v>1910</v>
      </c>
      <c r="S197" s="5" t="s">
        <v>1911</v>
      </c>
      <c r="T197" s="5" t="s">
        <v>180</v>
      </c>
      <c r="U197" s="5" t="s">
        <v>58</v>
      </c>
      <c r="V197" s="5" t="s">
        <v>51</v>
      </c>
    </row>
    <row r="198" customFormat="false" ht="22.35" hidden="false" customHeight="false" outlineLevel="0" collapsed="false">
      <c r="A198" s="5" t="s">
        <v>1912</v>
      </c>
      <c r="B198" s="5" t="s">
        <v>1900</v>
      </c>
      <c r="C198" s="5" t="s">
        <v>1901</v>
      </c>
      <c r="D198" s="5" t="s">
        <v>1913</v>
      </c>
      <c r="E198" s="5" t="s">
        <v>1914</v>
      </c>
      <c r="F198" s="5" t="s">
        <v>1915</v>
      </c>
      <c r="G198" s="5" t="s">
        <v>1113</v>
      </c>
      <c r="H198" s="5" t="s">
        <v>1899</v>
      </c>
      <c r="I198" s="5" t="s">
        <v>1491</v>
      </c>
      <c r="J198" s="5" t="s">
        <v>1916</v>
      </c>
      <c r="K198" s="5" t="s">
        <v>1917</v>
      </c>
      <c r="L198" s="5" t="s">
        <v>51</v>
      </c>
      <c r="M198" s="5" t="s">
        <v>408</v>
      </c>
      <c r="N198" s="5" t="s">
        <v>164</v>
      </c>
      <c r="O198" s="5" t="s">
        <v>771</v>
      </c>
      <c r="P198" s="5" t="n">
        <v>7</v>
      </c>
      <c r="Q198" s="5" t="s">
        <v>1918</v>
      </c>
      <c r="R198" s="5" t="s">
        <v>1919</v>
      </c>
      <c r="S198" s="5" t="s">
        <v>1920</v>
      </c>
      <c r="T198" s="5" t="s">
        <v>180</v>
      </c>
      <c r="U198" s="5" t="s">
        <v>774</v>
      </c>
      <c r="V198" s="5" t="s">
        <v>51</v>
      </c>
    </row>
    <row r="199" customFormat="false" ht="22.35" hidden="false" customHeight="false" outlineLevel="0" collapsed="false">
      <c r="A199" s="5" t="s">
        <v>1921</v>
      </c>
      <c r="B199" s="5" t="s">
        <v>1900</v>
      </c>
      <c r="C199" s="5" t="s">
        <v>1901</v>
      </c>
      <c r="D199" s="5" t="s">
        <v>1922</v>
      </c>
      <c r="E199" s="5" t="s">
        <v>1923</v>
      </c>
      <c r="F199" s="5" t="s">
        <v>1924</v>
      </c>
      <c r="G199" s="5" t="s">
        <v>1113</v>
      </c>
      <c r="H199" s="5" t="s">
        <v>1912</v>
      </c>
      <c r="I199" s="5" t="s">
        <v>1329</v>
      </c>
      <c r="J199" s="5" t="s">
        <v>1925</v>
      </c>
      <c r="K199" s="5" t="s">
        <v>1926</v>
      </c>
      <c r="L199" s="5" t="s">
        <v>51</v>
      </c>
      <c r="M199" s="5" t="s">
        <v>408</v>
      </c>
      <c r="N199" s="5" t="s">
        <v>164</v>
      </c>
      <c r="O199" s="5" t="s">
        <v>379</v>
      </c>
      <c r="P199" s="5" t="n">
        <v>4</v>
      </c>
      <c r="Q199" s="5" t="s">
        <v>1927</v>
      </c>
      <c r="R199" s="5" t="s">
        <v>1928</v>
      </c>
      <c r="S199" s="5" t="s">
        <v>1929</v>
      </c>
      <c r="T199" s="5" t="s">
        <v>180</v>
      </c>
      <c r="U199" s="5" t="s">
        <v>58</v>
      </c>
      <c r="V199" s="5" t="s">
        <v>51</v>
      </c>
    </row>
    <row r="200" customFormat="false" ht="22.35" hidden="false" customHeight="false" outlineLevel="0" collapsed="false">
      <c r="A200" s="5" t="s">
        <v>1930</v>
      </c>
      <c r="B200" s="5" t="s">
        <v>1900</v>
      </c>
      <c r="C200" s="5" t="s">
        <v>1901</v>
      </c>
      <c r="D200" s="5" t="s">
        <v>1931</v>
      </c>
      <c r="E200" s="5" t="s">
        <v>1932</v>
      </c>
      <c r="F200" s="5" t="s">
        <v>1933</v>
      </c>
      <c r="G200" s="5" t="s">
        <v>1113</v>
      </c>
      <c r="H200" s="5" t="s">
        <v>1921</v>
      </c>
      <c r="I200" s="5" t="s">
        <v>1329</v>
      </c>
      <c r="J200" s="5" t="s">
        <v>1934</v>
      </c>
      <c r="K200" s="5" t="s">
        <v>1935</v>
      </c>
      <c r="L200" s="5" t="s">
        <v>51</v>
      </c>
      <c r="M200" s="5" t="s">
        <v>408</v>
      </c>
      <c r="N200" s="5" t="s">
        <v>164</v>
      </c>
      <c r="O200" s="5" t="s">
        <v>379</v>
      </c>
      <c r="P200" s="5" t="n">
        <v>4</v>
      </c>
      <c r="Q200" s="5" t="s">
        <v>1936</v>
      </c>
      <c r="R200" s="5" t="s">
        <v>1937</v>
      </c>
      <c r="S200" s="5" t="s">
        <v>1723</v>
      </c>
      <c r="T200" s="5" t="s">
        <v>180</v>
      </c>
      <c r="U200" s="5" t="s">
        <v>58</v>
      </c>
      <c r="V200" s="5" t="s">
        <v>51</v>
      </c>
    </row>
    <row r="201" customFormat="false" ht="22.35" hidden="false" customHeight="false" outlineLevel="0" collapsed="false">
      <c r="A201" s="5" t="s">
        <v>1938</v>
      </c>
      <c r="B201" s="5" t="s">
        <v>1900</v>
      </c>
      <c r="C201" s="5" t="s">
        <v>1901</v>
      </c>
      <c r="D201" s="5" t="s">
        <v>1939</v>
      </c>
      <c r="E201" s="5" t="s">
        <v>1940</v>
      </c>
      <c r="F201" s="5" t="s">
        <v>1941</v>
      </c>
      <c r="G201" s="5" t="s">
        <v>1470</v>
      </c>
      <c r="H201" s="5" t="s">
        <v>1930</v>
      </c>
      <c r="I201" s="5" t="s">
        <v>1329</v>
      </c>
      <c r="J201" s="5" t="s">
        <v>1942</v>
      </c>
      <c r="K201" s="5" t="s">
        <v>1943</v>
      </c>
      <c r="L201" s="5" t="s">
        <v>84</v>
      </c>
      <c r="M201" s="5" t="s">
        <v>408</v>
      </c>
      <c r="N201" s="5" t="s">
        <v>53</v>
      </c>
      <c r="O201" s="5" t="s">
        <v>67</v>
      </c>
      <c r="P201" s="5" t="n">
        <v>1</v>
      </c>
      <c r="Q201" s="5" t="s">
        <v>1944</v>
      </c>
      <c r="R201" s="5" t="s">
        <v>1945</v>
      </c>
      <c r="S201" s="5" t="s">
        <v>1946</v>
      </c>
      <c r="T201" s="5" t="s">
        <v>180</v>
      </c>
      <c r="U201" s="5" t="s">
        <v>58</v>
      </c>
      <c r="V201" s="5" t="s">
        <v>51</v>
      </c>
    </row>
    <row r="202" customFormat="false" ht="22.35" hidden="false" customHeight="false" outlineLevel="0" collapsed="false">
      <c r="A202" s="5" t="s">
        <v>1947</v>
      </c>
      <c r="B202" s="5" t="s">
        <v>1948</v>
      </c>
      <c r="C202" s="5" t="s">
        <v>1949</v>
      </c>
      <c r="D202" s="5" t="s">
        <v>1950</v>
      </c>
      <c r="E202" s="5" t="s">
        <v>1951</v>
      </c>
      <c r="F202" s="5" t="s">
        <v>1952</v>
      </c>
      <c r="G202" s="5" t="s">
        <v>1113</v>
      </c>
      <c r="H202" s="5" t="s">
        <v>917</v>
      </c>
      <c r="I202" s="5" t="s">
        <v>1115</v>
      </c>
      <c r="J202" s="5" t="s">
        <v>1953</v>
      </c>
      <c r="K202" s="5" t="s">
        <v>258</v>
      </c>
      <c r="L202" s="5" t="s">
        <v>51</v>
      </c>
      <c r="M202" s="5" t="s">
        <v>79</v>
      </c>
      <c r="N202" s="5" t="s">
        <v>53</v>
      </c>
      <c r="O202" s="5" t="s">
        <v>389</v>
      </c>
      <c r="P202" s="5" t="n">
        <v>1</v>
      </c>
      <c r="Q202" s="5" t="s">
        <v>1954</v>
      </c>
      <c r="R202" s="5" t="s">
        <v>1955</v>
      </c>
      <c r="S202" s="5" t="s">
        <v>1956</v>
      </c>
      <c r="T202" s="5" t="s">
        <v>84</v>
      </c>
      <c r="U202" s="5" t="s">
        <v>58</v>
      </c>
      <c r="V202" s="5" t="s">
        <v>51</v>
      </c>
    </row>
    <row r="203" customFormat="false" ht="22.35" hidden="false" customHeight="false" outlineLevel="0" collapsed="false">
      <c r="A203" s="5" t="s">
        <v>1957</v>
      </c>
      <c r="B203" s="5" t="s">
        <v>1948</v>
      </c>
      <c r="C203" s="5" t="s">
        <v>1949</v>
      </c>
      <c r="D203" s="5" t="s">
        <v>1958</v>
      </c>
      <c r="E203" s="5" t="s">
        <v>1959</v>
      </c>
      <c r="F203" s="5" t="s">
        <v>1960</v>
      </c>
      <c r="G203" s="5" t="s">
        <v>1113</v>
      </c>
      <c r="H203" s="5" t="s">
        <v>886</v>
      </c>
      <c r="I203" s="5" t="s">
        <v>1961</v>
      </c>
      <c r="J203" s="5" t="s">
        <v>1962</v>
      </c>
      <c r="K203" s="5" t="s">
        <v>1963</v>
      </c>
      <c r="L203" s="5" t="s">
        <v>51</v>
      </c>
      <c r="M203" s="5" t="s">
        <v>79</v>
      </c>
      <c r="N203" s="5" t="s">
        <v>53</v>
      </c>
      <c r="O203" s="5" t="s">
        <v>1964</v>
      </c>
      <c r="P203" s="5" t="n">
        <v>2</v>
      </c>
      <c r="Q203" s="5" t="s">
        <v>1965</v>
      </c>
      <c r="R203" s="5" t="s">
        <v>1966</v>
      </c>
      <c r="S203" s="5" t="s">
        <v>1967</v>
      </c>
      <c r="T203" s="5" t="s">
        <v>84</v>
      </c>
      <c r="U203" s="5" t="s">
        <v>58</v>
      </c>
      <c r="V203" s="5" t="s">
        <v>51</v>
      </c>
    </row>
    <row r="204" customFormat="false" ht="22.35" hidden="false" customHeight="false" outlineLevel="0" collapsed="false">
      <c r="A204" s="5" t="s">
        <v>1968</v>
      </c>
      <c r="B204" s="5" t="s">
        <v>1948</v>
      </c>
      <c r="C204" s="5" t="s">
        <v>1949</v>
      </c>
      <c r="D204" s="5" t="s">
        <v>1969</v>
      </c>
      <c r="E204" s="5" t="s">
        <v>1970</v>
      </c>
      <c r="F204" s="5" t="s">
        <v>1971</v>
      </c>
      <c r="G204" s="5" t="s">
        <v>1113</v>
      </c>
      <c r="H204" s="5" t="s">
        <v>1205</v>
      </c>
      <c r="I204" s="5" t="s">
        <v>1115</v>
      </c>
      <c r="J204" s="5" t="s">
        <v>1972</v>
      </c>
      <c r="K204" s="5" t="s">
        <v>1973</v>
      </c>
      <c r="L204" s="5" t="s">
        <v>51</v>
      </c>
      <c r="M204" s="5" t="s">
        <v>79</v>
      </c>
      <c r="N204" s="5" t="s">
        <v>53</v>
      </c>
      <c r="O204" s="5" t="s">
        <v>67</v>
      </c>
      <c r="P204" s="5" t="n">
        <v>1</v>
      </c>
      <c r="Q204" s="5" t="s">
        <v>1974</v>
      </c>
      <c r="R204" s="5" t="s">
        <v>1975</v>
      </c>
      <c r="S204" s="5" t="s">
        <v>1976</v>
      </c>
      <c r="T204" s="5" t="s">
        <v>84</v>
      </c>
      <c r="U204" s="5" t="s">
        <v>58</v>
      </c>
      <c r="V204" s="5" t="s">
        <v>51</v>
      </c>
    </row>
    <row r="205" customFormat="false" ht="22.35" hidden="false" customHeight="false" outlineLevel="0" collapsed="false">
      <c r="A205" s="5" t="s">
        <v>1977</v>
      </c>
      <c r="B205" s="5" t="s">
        <v>1948</v>
      </c>
      <c r="C205" s="5" t="s">
        <v>1949</v>
      </c>
      <c r="D205" s="5" t="s">
        <v>1978</v>
      </c>
      <c r="E205" s="5" t="s">
        <v>1979</v>
      </c>
      <c r="F205" s="5" t="s">
        <v>1980</v>
      </c>
      <c r="G205" s="5" t="s">
        <v>1113</v>
      </c>
      <c r="H205" s="5" t="s">
        <v>1981</v>
      </c>
      <c r="I205" s="5" t="s">
        <v>1115</v>
      </c>
      <c r="J205" s="5" t="s">
        <v>1982</v>
      </c>
      <c r="K205" s="5" t="s">
        <v>1963</v>
      </c>
      <c r="L205" s="5" t="s">
        <v>51</v>
      </c>
      <c r="M205" s="5" t="s">
        <v>79</v>
      </c>
      <c r="N205" s="5" t="s">
        <v>53</v>
      </c>
      <c r="O205" s="5" t="s">
        <v>389</v>
      </c>
      <c r="P205" s="5" t="n">
        <v>1</v>
      </c>
      <c r="Q205" s="5" t="s">
        <v>1983</v>
      </c>
      <c r="R205" s="5" t="s">
        <v>1984</v>
      </c>
      <c r="S205" s="5" t="s">
        <v>1985</v>
      </c>
      <c r="T205" s="5" t="s">
        <v>84</v>
      </c>
      <c r="U205" s="5" t="s">
        <v>58</v>
      </c>
      <c r="V205" s="5" t="s">
        <v>51</v>
      </c>
    </row>
    <row r="206" customFormat="false" ht="22.35" hidden="false" customHeight="false" outlineLevel="0" collapsed="false">
      <c r="A206" s="5" t="s">
        <v>1986</v>
      </c>
      <c r="B206" s="5" t="s">
        <v>1948</v>
      </c>
      <c r="C206" s="5" t="s">
        <v>1949</v>
      </c>
      <c r="D206" s="5" t="s">
        <v>1987</v>
      </c>
      <c r="E206" s="5" t="s">
        <v>1988</v>
      </c>
      <c r="F206" s="5" t="s">
        <v>1989</v>
      </c>
      <c r="G206" s="5" t="s">
        <v>1113</v>
      </c>
      <c r="H206" s="5" t="s">
        <v>1947</v>
      </c>
      <c r="I206" s="5" t="s">
        <v>1115</v>
      </c>
      <c r="J206" s="5" t="s">
        <v>1990</v>
      </c>
      <c r="K206" s="5" t="s">
        <v>1991</v>
      </c>
      <c r="L206" s="5" t="s">
        <v>51</v>
      </c>
      <c r="M206" s="5" t="s">
        <v>79</v>
      </c>
      <c r="N206" s="5" t="s">
        <v>53</v>
      </c>
      <c r="O206" s="5" t="s">
        <v>389</v>
      </c>
      <c r="P206" s="5" t="n">
        <v>1</v>
      </c>
      <c r="Q206" s="5" t="s">
        <v>1992</v>
      </c>
      <c r="R206" s="5" t="s">
        <v>1993</v>
      </c>
      <c r="S206" s="5" t="s">
        <v>1994</v>
      </c>
      <c r="T206" s="5" t="s">
        <v>84</v>
      </c>
      <c r="U206" s="5" t="s">
        <v>58</v>
      </c>
      <c r="V206" s="5" t="s">
        <v>84</v>
      </c>
    </row>
    <row r="207" customFormat="false" ht="22.35" hidden="false" customHeight="false" outlineLevel="0" collapsed="false">
      <c r="A207" s="5" t="s">
        <v>1995</v>
      </c>
      <c r="B207" s="5" t="s">
        <v>1948</v>
      </c>
      <c r="C207" s="5" t="s">
        <v>1949</v>
      </c>
      <c r="D207" s="5" t="s">
        <v>1996</v>
      </c>
      <c r="E207" s="5" t="s">
        <v>1997</v>
      </c>
      <c r="F207" s="5" t="s">
        <v>1998</v>
      </c>
      <c r="G207" s="5" t="s">
        <v>1470</v>
      </c>
      <c r="H207" s="5" t="s">
        <v>574</v>
      </c>
      <c r="I207" s="5" t="s">
        <v>578</v>
      </c>
      <c r="J207" s="5" t="s">
        <v>1999</v>
      </c>
      <c r="K207" s="5" t="s">
        <v>2000</v>
      </c>
      <c r="L207" s="5" t="s">
        <v>51</v>
      </c>
      <c r="M207" s="5" t="s">
        <v>79</v>
      </c>
      <c r="N207" s="5" t="s">
        <v>53</v>
      </c>
      <c r="O207" s="5" t="s">
        <v>389</v>
      </c>
      <c r="P207" s="5" t="n">
        <v>1</v>
      </c>
      <c r="Q207" s="5" t="s">
        <v>2001</v>
      </c>
      <c r="R207" s="5" t="s">
        <v>2002</v>
      </c>
      <c r="S207" s="5" t="s">
        <v>2003</v>
      </c>
      <c r="T207" s="5" t="s">
        <v>84</v>
      </c>
      <c r="U207" s="5" t="s">
        <v>58</v>
      </c>
      <c r="V207" s="5" t="s">
        <v>51</v>
      </c>
    </row>
    <row r="208" customFormat="false" ht="22.35" hidden="false" customHeight="false" outlineLevel="0" collapsed="false">
      <c r="A208" s="5" t="s">
        <v>2004</v>
      </c>
      <c r="B208" s="5" t="s">
        <v>1948</v>
      </c>
      <c r="C208" s="5" t="s">
        <v>1949</v>
      </c>
      <c r="D208" s="5" t="s">
        <v>2005</v>
      </c>
      <c r="E208" s="5" t="s">
        <v>2006</v>
      </c>
      <c r="F208" s="5" t="s">
        <v>2007</v>
      </c>
      <c r="G208" s="5" t="s">
        <v>1113</v>
      </c>
      <c r="H208" s="5" t="s">
        <v>886</v>
      </c>
      <c r="I208" s="5" t="s">
        <v>1115</v>
      </c>
      <c r="J208" s="5" t="s">
        <v>2008</v>
      </c>
      <c r="K208" s="5" t="s">
        <v>2009</v>
      </c>
      <c r="L208" s="5" t="s">
        <v>51</v>
      </c>
      <c r="M208" s="5" t="s">
        <v>52</v>
      </c>
      <c r="N208" s="5" t="s">
        <v>53</v>
      </c>
      <c r="O208" s="5" t="s">
        <v>238</v>
      </c>
      <c r="P208" s="5" t="n">
        <v>2</v>
      </c>
      <c r="Q208" s="5" t="s">
        <v>2010</v>
      </c>
      <c r="R208" s="5" t="s">
        <v>2011</v>
      </c>
      <c r="S208" s="5" t="s">
        <v>2012</v>
      </c>
      <c r="T208" s="5" t="s">
        <v>84</v>
      </c>
      <c r="U208" s="5" t="s">
        <v>58</v>
      </c>
      <c r="V208" s="5" t="s">
        <v>84</v>
      </c>
    </row>
    <row r="209" customFormat="false" ht="22.35" hidden="false" customHeight="false" outlineLevel="0" collapsed="false">
      <c r="A209" s="5" t="s">
        <v>2013</v>
      </c>
      <c r="B209" s="5" t="s">
        <v>1948</v>
      </c>
      <c r="C209" s="5" t="s">
        <v>1949</v>
      </c>
      <c r="D209" s="5" t="s">
        <v>2014</v>
      </c>
      <c r="E209" s="5" t="s">
        <v>2015</v>
      </c>
      <c r="F209" s="5" t="s">
        <v>2016</v>
      </c>
      <c r="G209" s="5" t="s">
        <v>1113</v>
      </c>
      <c r="H209" s="5" t="s">
        <v>744</v>
      </c>
      <c r="I209" s="5" t="s">
        <v>1115</v>
      </c>
      <c r="J209" s="5" t="s">
        <v>2017</v>
      </c>
      <c r="K209" s="5" t="s">
        <v>2018</v>
      </c>
      <c r="L209" s="5" t="s">
        <v>51</v>
      </c>
      <c r="M209" s="5" t="s">
        <v>79</v>
      </c>
      <c r="N209" s="5" t="s">
        <v>53</v>
      </c>
      <c r="O209" s="5" t="s">
        <v>67</v>
      </c>
      <c r="P209" s="5" t="n">
        <v>1</v>
      </c>
      <c r="Q209" s="5" t="s">
        <v>2019</v>
      </c>
      <c r="R209" s="5" t="s">
        <v>2020</v>
      </c>
      <c r="S209" s="5" t="s">
        <v>2021</v>
      </c>
      <c r="T209" s="5" t="s">
        <v>84</v>
      </c>
      <c r="U209" s="5" t="s">
        <v>58</v>
      </c>
      <c r="V209" s="5" t="s">
        <v>51</v>
      </c>
    </row>
    <row r="210" customFormat="false" ht="22.35" hidden="false" customHeight="false" outlineLevel="0" collapsed="false">
      <c r="A210" s="5" t="s">
        <v>2022</v>
      </c>
      <c r="B210" s="5" t="s">
        <v>1948</v>
      </c>
      <c r="C210" s="5" t="s">
        <v>1949</v>
      </c>
      <c r="D210" s="5" t="s">
        <v>2023</v>
      </c>
      <c r="E210" s="5" t="s">
        <v>2024</v>
      </c>
      <c r="F210" s="5" t="s">
        <v>2025</v>
      </c>
      <c r="G210" s="5" t="s">
        <v>1470</v>
      </c>
      <c r="H210" s="5" t="s">
        <v>232</v>
      </c>
      <c r="I210" s="5" t="s">
        <v>2026</v>
      </c>
      <c r="J210" s="5" t="s">
        <v>2027</v>
      </c>
      <c r="K210" s="5" t="s">
        <v>2028</v>
      </c>
      <c r="L210" s="5" t="s">
        <v>51</v>
      </c>
      <c r="M210" s="5" t="s">
        <v>408</v>
      </c>
      <c r="N210" s="5" t="s">
        <v>164</v>
      </c>
      <c r="O210" s="5" t="s">
        <v>831</v>
      </c>
      <c r="P210" s="5" t="n">
        <v>3</v>
      </c>
      <c r="Q210" s="5" t="s">
        <v>2029</v>
      </c>
      <c r="R210" s="5" t="s">
        <v>2030</v>
      </c>
      <c r="S210" s="5" t="s">
        <v>1956</v>
      </c>
      <c r="T210" s="5" t="s">
        <v>180</v>
      </c>
      <c r="U210" s="5" t="s">
        <v>58</v>
      </c>
      <c r="V210" s="5" t="s">
        <v>51</v>
      </c>
    </row>
    <row r="211" customFormat="false" ht="22.35" hidden="false" customHeight="false" outlineLevel="0" collapsed="false">
      <c r="A211" s="5" t="s">
        <v>2031</v>
      </c>
      <c r="B211" s="5" t="s">
        <v>1948</v>
      </c>
      <c r="C211" s="5" t="s">
        <v>1949</v>
      </c>
      <c r="D211" s="5" t="s">
        <v>2032</v>
      </c>
      <c r="E211" s="5" t="s">
        <v>2033</v>
      </c>
      <c r="F211" s="5" t="s">
        <v>2034</v>
      </c>
      <c r="G211" s="5" t="s">
        <v>1470</v>
      </c>
      <c r="H211" s="5" t="s">
        <v>232</v>
      </c>
      <c r="I211" s="5" t="s">
        <v>693</v>
      </c>
      <c r="J211" s="5" t="s">
        <v>2035</v>
      </c>
      <c r="K211" s="5" t="s">
        <v>1851</v>
      </c>
      <c r="L211" s="5" t="s">
        <v>84</v>
      </c>
      <c r="M211" s="5" t="s">
        <v>52</v>
      </c>
      <c r="N211" s="5" t="s">
        <v>53</v>
      </c>
      <c r="O211" s="5" t="s">
        <v>67</v>
      </c>
      <c r="P211" s="5" t="n">
        <v>1</v>
      </c>
      <c r="Q211" s="5" t="s">
        <v>2036</v>
      </c>
      <c r="R211" s="5" t="s">
        <v>2037</v>
      </c>
      <c r="S211" s="5" t="s">
        <v>2038</v>
      </c>
      <c r="T211" s="5" t="s">
        <v>180</v>
      </c>
      <c r="U211" s="5" t="s">
        <v>532</v>
      </c>
      <c r="V211" s="5" t="s">
        <v>84</v>
      </c>
    </row>
    <row r="212" customFormat="false" ht="22.35" hidden="false" customHeight="false" outlineLevel="0" collapsed="false">
      <c r="A212" s="5" t="s">
        <v>2039</v>
      </c>
      <c r="B212" s="5" t="s">
        <v>1948</v>
      </c>
      <c r="C212" s="5" t="s">
        <v>1949</v>
      </c>
      <c r="D212" s="5" t="s">
        <v>2040</v>
      </c>
      <c r="E212" s="5" t="s">
        <v>2041</v>
      </c>
      <c r="F212" s="5" t="s">
        <v>2042</v>
      </c>
      <c r="G212" s="5" t="s">
        <v>1470</v>
      </c>
      <c r="H212" s="5" t="s">
        <v>2043</v>
      </c>
      <c r="I212" s="5" t="s">
        <v>578</v>
      </c>
      <c r="J212" s="5" t="s">
        <v>2044</v>
      </c>
      <c r="K212" s="5" t="s">
        <v>2045</v>
      </c>
      <c r="L212" s="5" t="s">
        <v>51</v>
      </c>
      <c r="M212" s="5" t="s">
        <v>79</v>
      </c>
      <c r="N212" s="5" t="s">
        <v>53</v>
      </c>
      <c r="O212" s="5" t="s">
        <v>389</v>
      </c>
      <c r="P212" s="5" t="n">
        <v>1</v>
      </c>
      <c r="Q212" s="5" t="s">
        <v>2046</v>
      </c>
      <c r="R212" s="5" t="s">
        <v>2047</v>
      </c>
      <c r="S212" s="5" t="s">
        <v>2048</v>
      </c>
      <c r="T212" s="5" t="s">
        <v>84</v>
      </c>
      <c r="U212" s="5" t="s">
        <v>58</v>
      </c>
      <c r="V212" s="5" t="s">
        <v>84</v>
      </c>
    </row>
    <row r="213" customFormat="false" ht="22.35" hidden="false" customHeight="false" outlineLevel="0" collapsed="false">
      <c r="A213" s="5" t="s">
        <v>1300</v>
      </c>
      <c r="B213" s="5" t="s">
        <v>2049</v>
      </c>
      <c r="C213" s="5" t="s">
        <v>2050</v>
      </c>
      <c r="D213" s="5" t="s">
        <v>2051</v>
      </c>
      <c r="E213" s="5" t="s">
        <v>2052</v>
      </c>
      <c r="F213" s="5" t="s">
        <v>2053</v>
      </c>
      <c r="G213" s="5" t="s">
        <v>1113</v>
      </c>
      <c r="H213" s="5" t="s">
        <v>1556</v>
      </c>
      <c r="I213" s="5" t="s">
        <v>578</v>
      </c>
      <c r="J213" s="5" t="s">
        <v>2054</v>
      </c>
      <c r="K213" s="5" t="s">
        <v>2055</v>
      </c>
      <c r="L213" s="5" t="s">
        <v>51</v>
      </c>
      <c r="M213" s="5" t="s">
        <v>79</v>
      </c>
      <c r="N213" s="5" t="s">
        <v>53</v>
      </c>
      <c r="O213" s="5" t="s">
        <v>389</v>
      </c>
      <c r="P213" s="5" t="n">
        <v>1</v>
      </c>
      <c r="Q213" s="5" t="s">
        <v>2056</v>
      </c>
      <c r="R213" s="5" t="s">
        <v>2057</v>
      </c>
      <c r="S213" s="5" t="s">
        <v>2058</v>
      </c>
      <c r="T213" s="5" t="s">
        <v>84</v>
      </c>
      <c r="U213" s="5" t="s">
        <v>58</v>
      </c>
      <c r="V213" s="5" t="s">
        <v>51</v>
      </c>
    </row>
    <row r="214" customFormat="false" ht="22.35" hidden="false" customHeight="false" outlineLevel="0" collapsed="false">
      <c r="A214" s="5" t="s">
        <v>2059</v>
      </c>
      <c r="B214" s="5" t="s">
        <v>2049</v>
      </c>
      <c r="C214" s="5" t="s">
        <v>2050</v>
      </c>
      <c r="D214" s="5" t="s">
        <v>2060</v>
      </c>
      <c r="E214" s="5" t="s">
        <v>2061</v>
      </c>
      <c r="F214" s="5" t="s">
        <v>2062</v>
      </c>
      <c r="G214" s="5" t="s">
        <v>1113</v>
      </c>
      <c r="H214" s="5" t="s">
        <v>2063</v>
      </c>
      <c r="I214" s="5" t="s">
        <v>1115</v>
      </c>
      <c r="J214" s="5" t="s">
        <v>2064</v>
      </c>
      <c r="K214" s="5" t="s">
        <v>2065</v>
      </c>
      <c r="L214" s="5" t="s">
        <v>84</v>
      </c>
      <c r="M214" s="5" t="s">
        <v>408</v>
      </c>
      <c r="N214" s="5" t="s">
        <v>53</v>
      </c>
      <c r="O214" s="5" t="s">
        <v>67</v>
      </c>
      <c r="P214" s="5" t="n">
        <v>1</v>
      </c>
      <c r="Q214" s="5" t="s">
        <v>2066</v>
      </c>
      <c r="R214" s="5" t="s">
        <v>2067</v>
      </c>
      <c r="S214" s="5" t="s">
        <v>2068</v>
      </c>
      <c r="T214" s="5" t="s">
        <v>84</v>
      </c>
      <c r="U214" s="5" t="s">
        <v>58</v>
      </c>
      <c r="V214" s="5" t="s">
        <v>51</v>
      </c>
    </row>
    <row r="215" customFormat="false" ht="22.35" hidden="false" customHeight="false" outlineLevel="0" collapsed="false">
      <c r="A215" s="5" t="s">
        <v>2069</v>
      </c>
      <c r="B215" s="5" t="s">
        <v>2049</v>
      </c>
      <c r="C215" s="5" t="s">
        <v>2050</v>
      </c>
      <c r="D215" s="5" t="s">
        <v>2070</v>
      </c>
      <c r="E215" s="5" t="s">
        <v>2071</v>
      </c>
      <c r="F215" s="5" t="s">
        <v>2072</v>
      </c>
      <c r="G215" s="5" t="s">
        <v>1113</v>
      </c>
      <c r="H215" s="5" t="s">
        <v>934</v>
      </c>
      <c r="I215" s="5" t="s">
        <v>1115</v>
      </c>
      <c r="J215" s="5" t="s">
        <v>2073</v>
      </c>
      <c r="K215" s="5" t="s">
        <v>2074</v>
      </c>
      <c r="L215" s="5" t="s">
        <v>51</v>
      </c>
      <c r="M215" s="5" t="s">
        <v>52</v>
      </c>
      <c r="N215" s="5" t="s">
        <v>164</v>
      </c>
      <c r="O215" s="5" t="s">
        <v>361</v>
      </c>
      <c r="P215" s="5" t="n">
        <v>2</v>
      </c>
      <c r="Q215" s="5" t="s">
        <v>2075</v>
      </c>
      <c r="R215" s="5" t="s">
        <v>2076</v>
      </c>
      <c r="S215" s="5" t="s">
        <v>2077</v>
      </c>
      <c r="T215" s="5" t="s">
        <v>84</v>
      </c>
      <c r="U215" s="5" t="s">
        <v>58</v>
      </c>
      <c r="V215" s="5" t="s">
        <v>84</v>
      </c>
    </row>
    <row r="216" customFormat="false" ht="22.35" hidden="false" customHeight="false" outlineLevel="0" collapsed="false">
      <c r="A216" s="5" t="s">
        <v>2078</v>
      </c>
      <c r="B216" s="5" t="s">
        <v>2049</v>
      </c>
      <c r="C216" s="5" t="s">
        <v>2050</v>
      </c>
      <c r="D216" s="5" t="s">
        <v>2079</v>
      </c>
      <c r="E216" s="5" t="s">
        <v>2080</v>
      </c>
      <c r="F216" s="5" t="s">
        <v>2081</v>
      </c>
      <c r="G216" s="5" t="s">
        <v>1470</v>
      </c>
      <c r="H216" s="5" t="s">
        <v>2082</v>
      </c>
      <c r="I216" s="5" t="s">
        <v>1664</v>
      </c>
      <c r="J216" s="5" t="s">
        <v>2083</v>
      </c>
      <c r="K216" s="5" t="s">
        <v>1647</v>
      </c>
      <c r="L216" s="5" t="s">
        <v>51</v>
      </c>
      <c r="M216" s="5" t="s">
        <v>79</v>
      </c>
      <c r="N216" s="5" t="s">
        <v>53</v>
      </c>
      <c r="O216" s="5" t="s">
        <v>389</v>
      </c>
      <c r="P216" s="5" t="n">
        <v>1</v>
      </c>
      <c r="Q216" s="5" t="s">
        <v>2084</v>
      </c>
      <c r="R216" s="5" t="s">
        <v>2085</v>
      </c>
      <c r="S216" s="5" t="s">
        <v>2086</v>
      </c>
      <c r="T216" s="5" t="s">
        <v>84</v>
      </c>
      <c r="U216" s="5" t="s">
        <v>58</v>
      </c>
      <c r="V216" s="5" t="s">
        <v>51</v>
      </c>
    </row>
    <row r="217" customFormat="false" ht="22.35" hidden="false" customHeight="false" outlineLevel="0" collapsed="false">
      <c r="A217" s="5" t="s">
        <v>2087</v>
      </c>
      <c r="B217" s="5" t="s">
        <v>2088</v>
      </c>
      <c r="C217" s="5" t="s">
        <v>2089</v>
      </c>
      <c r="D217" s="5" t="s">
        <v>2090</v>
      </c>
      <c r="E217" s="5" t="s">
        <v>2091</v>
      </c>
      <c r="F217" s="5" t="s">
        <v>2092</v>
      </c>
      <c r="G217" s="5" t="s">
        <v>313</v>
      </c>
      <c r="H217" s="5" t="s">
        <v>289</v>
      </c>
      <c r="I217" s="5" t="s">
        <v>196</v>
      </c>
      <c r="J217" s="5" t="s">
        <v>2093</v>
      </c>
      <c r="K217" s="5" t="s">
        <v>315</v>
      </c>
      <c r="L217" s="5" t="s">
        <v>84</v>
      </c>
      <c r="M217" s="5" t="s">
        <v>52</v>
      </c>
      <c r="N217" s="5" t="s">
        <v>53</v>
      </c>
      <c r="O217" s="5" t="s">
        <v>1103</v>
      </c>
      <c r="P217" s="5" t="n">
        <v>1</v>
      </c>
      <c r="Q217" s="5" t="s">
        <v>2094</v>
      </c>
      <c r="R217" s="5" t="s">
        <v>2095</v>
      </c>
      <c r="S217" s="5" t="s">
        <v>2096</v>
      </c>
      <c r="T217" s="5" t="s">
        <v>84</v>
      </c>
      <c r="U217" s="5" t="s">
        <v>58</v>
      </c>
      <c r="V217" s="5" t="s">
        <v>51</v>
      </c>
    </row>
    <row r="218" customFormat="false" ht="22.35" hidden="false" customHeight="false" outlineLevel="0" collapsed="false">
      <c r="A218" s="5" t="s">
        <v>2097</v>
      </c>
      <c r="B218" s="5" t="s">
        <v>2088</v>
      </c>
      <c r="C218" s="5" t="s">
        <v>2089</v>
      </c>
      <c r="D218" s="5" t="s">
        <v>2098</v>
      </c>
      <c r="E218" s="5" t="s">
        <v>2099</v>
      </c>
      <c r="F218" s="5" t="s">
        <v>2100</v>
      </c>
      <c r="G218" s="5" t="s">
        <v>1113</v>
      </c>
      <c r="H218" s="5" t="s">
        <v>1170</v>
      </c>
      <c r="I218" s="5" t="s">
        <v>1115</v>
      </c>
      <c r="J218" s="5" t="s">
        <v>2101</v>
      </c>
      <c r="K218" s="5" t="s">
        <v>2102</v>
      </c>
      <c r="L218" s="5" t="s">
        <v>51</v>
      </c>
      <c r="M218" s="5" t="s">
        <v>79</v>
      </c>
      <c r="N218" s="5" t="s">
        <v>53</v>
      </c>
      <c r="O218" s="5" t="s">
        <v>2103</v>
      </c>
      <c r="P218" s="5" t="n">
        <v>1</v>
      </c>
      <c r="Q218" s="5" t="s">
        <v>2104</v>
      </c>
      <c r="R218" s="5" t="s">
        <v>2105</v>
      </c>
      <c r="S218" s="5" t="s">
        <v>2106</v>
      </c>
      <c r="T218" s="5" t="s">
        <v>84</v>
      </c>
      <c r="U218" s="5" t="s">
        <v>58</v>
      </c>
      <c r="V218" s="5" t="s">
        <v>51</v>
      </c>
    </row>
    <row r="219" customFormat="false" ht="22.35" hidden="false" customHeight="false" outlineLevel="0" collapsed="false">
      <c r="A219" s="5" t="s">
        <v>2107</v>
      </c>
      <c r="B219" s="5" t="s">
        <v>2088</v>
      </c>
      <c r="C219" s="5" t="s">
        <v>2089</v>
      </c>
      <c r="D219" s="5" t="s">
        <v>2108</v>
      </c>
      <c r="E219" s="5" t="s">
        <v>2109</v>
      </c>
      <c r="F219" s="5" t="s">
        <v>2110</v>
      </c>
      <c r="G219" s="5" t="s">
        <v>1664</v>
      </c>
      <c r="H219" s="5" t="s">
        <v>1212</v>
      </c>
      <c r="I219" s="5" t="s">
        <v>2111</v>
      </c>
      <c r="J219" s="5" t="s">
        <v>2112</v>
      </c>
      <c r="K219" s="5" t="s">
        <v>2113</v>
      </c>
      <c r="L219" s="5" t="s">
        <v>51</v>
      </c>
      <c r="M219" s="5" t="s">
        <v>79</v>
      </c>
      <c r="N219" s="5" t="s">
        <v>53</v>
      </c>
      <c r="O219" s="5" t="s">
        <v>238</v>
      </c>
      <c r="P219" s="5" t="n">
        <v>2</v>
      </c>
      <c r="Q219" s="5" t="s">
        <v>2114</v>
      </c>
      <c r="R219" s="5" t="s">
        <v>2115</v>
      </c>
      <c r="S219" s="5" t="s">
        <v>2116</v>
      </c>
      <c r="T219" s="5" t="s">
        <v>84</v>
      </c>
      <c r="U219" s="5" t="s">
        <v>58</v>
      </c>
      <c r="V219" s="5" t="s">
        <v>51</v>
      </c>
    </row>
    <row r="220" customFormat="false" ht="22.35" hidden="false" customHeight="false" outlineLevel="0" collapsed="false">
      <c r="A220" s="5" t="s">
        <v>2117</v>
      </c>
      <c r="B220" s="5" t="s">
        <v>2088</v>
      </c>
      <c r="C220" s="5" t="s">
        <v>2089</v>
      </c>
      <c r="D220" s="5" t="s">
        <v>2118</v>
      </c>
      <c r="E220" s="5" t="s">
        <v>2119</v>
      </c>
      <c r="F220" s="5" t="s">
        <v>2120</v>
      </c>
      <c r="G220" s="5" t="s">
        <v>693</v>
      </c>
      <c r="H220" s="5" t="s">
        <v>824</v>
      </c>
      <c r="I220" s="5" t="s">
        <v>693</v>
      </c>
      <c r="J220" s="5" t="s">
        <v>2121</v>
      </c>
      <c r="K220" s="5" t="s">
        <v>2122</v>
      </c>
      <c r="L220" s="5" t="s">
        <v>663</v>
      </c>
      <c r="M220" s="5" t="s">
        <v>79</v>
      </c>
      <c r="N220" s="5" t="s">
        <v>53</v>
      </c>
      <c r="O220" s="5" t="s">
        <v>238</v>
      </c>
      <c r="P220" s="5" t="n">
        <v>2</v>
      </c>
      <c r="Q220" s="5" t="s">
        <v>2123</v>
      </c>
      <c r="R220" s="5" t="s">
        <v>2124</v>
      </c>
      <c r="S220" s="5" t="s">
        <v>1008</v>
      </c>
      <c r="T220" s="5" t="s">
        <v>84</v>
      </c>
      <c r="U220" s="5" t="s">
        <v>58</v>
      </c>
      <c r="V220" s="5" t="s">
        <v>84</v>
      </c>
    </row>
    <row r="221" customFormat="false" ht="22.35" hidden="false" customHeight="false" outlineLevel="0" collapsed="false">
      <c r="A221" s="5" t="s">
        <v>2125</v>
      </c>
      <c r="B221" s="5" t="s">
        <v>2088</v>
      </c>
      <c r="C221" s="5" t="s">
        <v>2089</v>
      </c>
      <c r="D221" s="5" t="s">
        <v>2126</v>
      </c>
      <c r="E221" s="5" t="s">
        <v>2127</v>
      </c>
      <c r="F221" s="5" t="s">
        <v>2128</v>
      </c>
      <c r="G221" s="5" t="s">
        <v>1664</v>
      </c>
      <c r="H221" s="5" t="s">
        <v>1009</v>
      </c>
      <c r="I221" s="5" t="s">
        <v>1664</v>
      </c>
      <c r="J221" s="5" t="s">
        <v>2129</v>
      </c>
      <c r="K221" s="5" t="s">
        <v>2130</v>
      </c>
      <c r="L221" s="5" t="s">
        <v>51</v>
      </c>
      <c r="M221" s="5" t="s">
        <v>79</v>
      </c>
      <c r="N221" s="5" t="s">
        <v>53</v>
      </c>
      <c r="O221" s="5" t="s">
        <v>389</v>
      </c>
      <c r="P221" s="5" t="n">
        <v>1</v>
      </c>
      <c r="Q221" s="5" t="s">
        <v>2131</v>
      </c>
      <c r="R221" s="5" t="s">
        <v>2132</v>
      </c>
      <c r="S221" s="5" t="s">
        <v>1008</v>
      </c>
      <c r="T221" s="5" t="s">
        <v>84</v>
      </c>
      <c r="U221" s="5" t="s">
        <v>58</v>
      </c>
      <c r="V221" s="5" t="s">
        <v>51</v>
      </c>
    </row>
    <row r="222" customFormat="false" ht="22.35" hidden="false" customHeight="false" outlineLevel="0" collapsed="false">
      <c r="A222" s="5" t="s">
        <v>2133</v>
      </c>
      <c r="B222" s="5" t="s">
        <v>2088</v>
      </c>
      <c r="C222" s="5" t="s">
        <v>2089</v>
      </c>
      <c r="D222" s="5" t="s">
        <v>2134</v>
      </c>
      <c r="E222" s="5" t="s">
        <v>2135</v>
      </c>
      <c r="F222" s="5" t="s">
        <v>2136</v>
      </c>
      <c r="G222" s="5" t="s">
        <v>1664</v>
      </c>
      <c r="H222" s="5" t="s">
        <v>2137</v>
      </c>
      <c r="I222" s="5" t="s">
        <v>2111</v>
      </c>
      <c r="J222" s="5" t="s">
        <v>2138</v>
      </c>
      <c r="K222" s="5" t="s">
        <v>2139</v>
      </c>
      <c r="L222" s="5" t="s">
        <v>51</v>
      </c>
      <c r="M222" s="5" t="s">
        <v>79</v>
      </c>
      <c r="N222" s="5" t="s">
        <v>53</v>
      </c>
      <c r="O222" s="5" t="s">
        <v>67</v>
      </c>
      <c r="P222" s="5" t="n">
        <v>1</v>
      </c>
      <c r="Q222" s="5" t="s">
        <v>2140</v>
      </c>
      <c r="R222" s="5" t="s">
        <v>2141</v>
      </c>
      <c r="S222" s="5" t="s">
        <v>2142</v>
      </c>
      <c r="T222" s="5" t="s">
        <v>84</v>
      </c>
      <c r="U222" s="5" t="s">
        <v>58</v>
      </c>
      <c r="V222" s="5" t="s">
        <v>51</v>
      </c>
    </row>
    <row r="223" customFormat="false" ht="22.35" hidden="false" customHeight="false" outlineLevel="0" collapsed="false">
      <c r="A223" s="5" t="s">
        <v>2143</v>
      </c>
      <c r="B223" s="5" t="s">
        <v>2088</v>
      </c>
      <c r="C223" s="5" t="s">
        <v>2089</v>
      </c>
      <c r="D223" s="5" t="s">
        <v>2144</v>
      </c>
      <c r="E223" s="5" t="s">
        <v>2145</v>
      </c>
      <c r="F223" s="5" t="s">
        <v>2146</v>
      </c>
      <c r="G223" s="5" t="s">
        <v>1664</v>
      </c>
      <c r="H223" s="5" t="s">
        <v>1205</v>
      </c>
      <c r="I223" s="5" t="s">
        <v>1664</v>
      </c>
      <c r="J223" s="5" t="s">
        <v>2147</v>
      </c>
      <c r="K223" s="5" t="s">
        <v>2148</v>
      </c>
      <c r="L223" s="5" t="s">
        <v>51</v>
      </c>
      <c r="M223" s="5" t="s">
        <v>79</v>
      </c>
      <c r="N223" s="5" t="s">
        <v>53</v>
      </c>
      <c r="O223" s="5" t="s">
        <v>67</v>
      </c>
      <c r="P223" s="5" t="n">
        <v>1</v>
      </c>
      <c r="Q223" s="5" t="s">
        <v>2149</v>
      </c>
      <c r="R223" s="5" t="s">
        <v>2150</v>
      </c>
      <c r="S223" s="5" t="s">
        <v>2151</v>
      </c>
      <c r="T223" s="5" t="s">
        <v>84</v>
      </c>
      <c r="U223" s="5" t="s">
        <v>58</v>
      </c>
      <c r="V223" s="5" t="s">
        <v>84</v>
      </c>
    </row>
    <row r="224" customFormat="false" ht="22.35" hidden="false" customHeight="false" outlineLevel="0" collapsed="false">
      <c r="A224" s="5" t="s">
        <v>2152</v>
      </c>
      <c r="B224" s="5" t="s">
        <v>2088</v>
      </c>
      <c r="C224" s="5" t="s">
        <v>2089</v>
      </c>
      <c r="D224" s="5" t="s">
        <v>2153</v>
      </c>
      <c r="E224" s="5" t="s">
        <v>2154</v>
      </c>
      <c r="F224" s="5" t="s">
        <v>2155</v>
      </c>
      <c r="G224" s="5" t="s">
        <v>1664</v>
      </c>
      <c r="H224" s="5" t="s">
        <v>2156</v>
      </c>
      <c r="I224" s="5" t="s">
        <v>1664</v>
      </c>
      <c r="J224" s="5" t="s">
        <v>2157</v>
      </c>
      <c r="K224" s="5" t="s">
        <v>2158</v>
      </c>
      <c r="L224" s="5" t="s">
        <v>51</v>
      </c>
      <c r="M224" s="5" t="s">
        <v>52</v>
      </c>
      <c r="N224" s="5" t="s">
        <v>164</v>
      </c>
      <c r="O224" s="5" t="s">
        <v>238</v>
      </c>
      <c r="P224" s="5" t="n">
        <v>2</v>
      </c>
      <c r="Q224" s="5" t="s">
        <v>2159</v>
      </c>
      <c r="R224" s="5" t="s">
        <v>2160</v>
      </c>
      <c r="S224" s="5" t="s">
        <v>2161</v>
      </c>
      <c r="T224" s="5" t="s">
        <v>84</v>
      </c>
      <c r="U224" s="5" t="s">
        <v>58</v>
      </c>
      <c r="V224" s="5" t="s">
        <v>51</v>
      </c>
    </row>
    <row r="225" customFormat="false" ht="22.35" hidden="false" customHeight="false" outlineLevel="0" collapsed="false">
      <c r="A225" s="5" t="s">
        <v>2162</v>
      </c>
      <c r="B225" s="5" t="s">
        <v>2163</v>
      </c>
      <c r="C225" s="5" t="s">
        <v>2164</v>
      </c>
      <c r="D225" s="5" t="s">
        <v>2165</v>
      </c>
      <c r="E225" s="5" t="s">
        <v>2166</v>
      </c>
      <c r="F225" s="5" t="s">
        <v>2167</v>
      </c>
      <c r="G225" s="5" t="s">
        <v>313</v>
      </c>
      <c r="H225" s="5" t="s">
        <v>289</v>
      </c>
      <c r="I225" s="5" t="s">
        <v>1115</v>
      </c>
      <c r="J225" s="5" t="s">
        <v>2168</v>
      </c>
      <c r="K225" s="5" t="s">
        <v>2169</v>
      </c>
      <c r="L225" s="5" t="s">
        <v>51</v>
      </c>
      <c r="M225" s="5" t="s">
        <v>52</v>
      </c>
      <c r="N225" s="5" t="s">
        <v>53</v>
      </c>
      <c r="O225" s="5" t="s">
        <v>105</v>
      </c>
      <c r="P225" s="5" t="n">
        <v>1</v>
      </c>
      <c r="Q225" s="5" t="s">
        <v>2170</v>
      </c>
      <c r="R225" s="5" t="s">
        <v>2171</v>
      </c>
      <c r="S225" s="5" t="s">
        <v>834</v>
      </c>
      <c r="T225" s="5" t="s">
        <v>84</v>
      </c>
      <c r="U225" s="5" t="s">
        <v>58</v>
      </c>
      <c r="V225" s="5" t="s">
        <v>51</v>
      </c>
    </row>
    <row r="226" customFormat="false" ht="22.35" hidden="false" customHeight="false" outlineLevel="0" collapsed="false">
      <c r="A226" s="5" t="s">
        <v>2172</v>
      </c>
      <c r="B226" s="5" t="s">
        <v>2163</v>
      </c>
      <c r="C226" s="5" t="s">
        <v>2164</v>
      </c>
      <c r="D226" s="5" t="s">
        <v>2173</v>
      </c>
      <c r="E226" s="5" t="s">
        <v>2174</v>
      </c>
      <c r="F226" s="5" t="s">
        <v>2175</v>
      </c>
      <c r="G226" s="5" t="s">
        <v>1113</v>
      </c>
      <c r="H226" s="5" t="s">
        <v>824</v>
      </c>
      <c r="I226" s="5" t="s">
        <v>1115</v>
      </c>
      <c r="J226" s="5" t="s">
        <v>2176</v>
      </c>
      <c r="K226" s="5" t="s">
        <v>2177</v>
      </c>
      <c r="L226" s="5" t="s">
        <v>51</v>
      </c>
      <c r="M226" s="5" t="s">
        <v>79</v>
      </c>
      <c r="N226" s="5" t="s">
        <v>53</v>
      </c>
      <c r="O226" s="5" t="s">
        <v>238</v>
      </c>
      <c r="P226" s="5" t="n">
        <v>2</v>
      </c>
      <c r="Q226" s="5" t="s">
        <v>832</v>
      </c>
      <c r="R226" s="5" t="s">
        <v>2178</v>
      </c>
      <c r="S226" s="5" t="s">
        <v>2179</v>
      </c>
      <c r="T226" s="5" t="s">
        <v>84</v>
      </c>
      <c r="U226" s="5" t="s">
        <v>58</v>
      </c>
      <c r="V226" s="5" t="s">
        <v>84</v>
      </c>
    </row>
    <row r="227" customFormat="false" ht="22.35" hidden="false" customHeight="false" outlineLevel="0" collapsed="false">
      <c r="A227" s="5" t="s">
        <v>2180</v>
      </c>
      <c r="B227" s="5" t="s">
        <v>2163</v>
      </c>
      <c r="C227" s="5" t="s">
        <v>2164</v>
      </c>
      <c r="D227" s="5" t="s">
        <v>2181</v>
      </c>
      <c r="E227" s="5" t="s">
        <v>2182</v>
      </c>
      <c r="F227" s="5" t="s">
        <v>2183</v>
      </c>
      <c r="G227" s="5" t="s">
        <v>1113</v>
      </c>
      <c r="H227" s="5" t="s">
        <v>1153</v>
      </c>
      <c r="I227" s="5" t="s">
        <v>1115</v>
      </c>
      <c r="J227" s="5" t="s">
        <v>2184</v>
      </c>
      <c r="K227" s="5" t="s">
        <v>2185</v>
      </c>
      <c r="L227" s="5" t="s">
        <v>51</v>
      </c>
      <c r="M227" s="5" t="s">
        <v>52</v>
      </c>
      <c r="N227" s="5" t="s">
        <v>53</v>
      </c>
      <c r="O227" s="5" t="s">
        <v>67</v>
      </c>
      <c r="P227" s="5" t="n">
        <v>1</v>
      </c>
      <c r="Q227" s="5" t="s">
        <v>2186</v>
      </c>
      <c r="R227" s="5" t="s">
        <v>2187</v>
      </c>
      <c r="S227" s="5" t="s">
        <v>2188</v>
      </c>
      <c r="T227" s="5" t="s">
        <v>84</v>
      </c>
      <c r="U227" s="5" t="s">
        <v>58</v>
      </c>
      <c r="V227" s="5" t="s">
        <v>51</v>
      </c>
    </row>
    <row r="228" customFormat="false" ht="22.35" hidden="false" customHeight="false" outlineLevel="0" collapsed="false">
      <c r="A228" s="5" t="s">
        <v>2189</v>
      </c>
      <c r="B228" s="5" t="s">
        <v>2163</v>
      </c>
      <c r="C228" s="5" t="s">
        <v>2164</v>
      </c>
      <c r="D228" s="5" t="s">
        <v>2190</v>
      </c>
      <c r="E228" s="5" t="s">
        <v>2191</v>
      </c>
      <c r="F228" s="5" t="s">
        <v>2192</v>
      </c>
      <c r="G228" s="5" t="s">
        <v>1113</v>
      </c>
      <c r="H228" s="5" t="s">
        <v>1196</v>
      </c>
      <c r="I228" s="5" t="s">
        <v>1115</v>
      </c>
      <c r="J228" s="5" t="s">
        <v>2193</v>
      </c>
      <c r="K228" s="5" t="s">
        <v>2194</v>
      </c>
      <c r="L228" s="5" t="s">
        <v>51</v>
      </c>
      <c r="M228" s="5" t="s">
        <v>52</v>
      </c>
      <c r="N228" s="5" t="s">
        <v>164</v>
      </c>
      <c r="O228" s="5" t="s">
        <v>361</v>
      </c>
      <c r="P228" s="5" t="n">
        <v>2</v>
      </c>
      <c r="Q228" s="5" t="s">
        <v>2195</v>
      </c>
      <c r="R228" s="5" t="s">
        <v>2196</v>
      </c>
      <c r="S228" s="5" t="s">
        <v>2197</v>
      </c>
      <c r="T228" s="5" t="s">
        <v>84</v>
      </c>
      <c r="U228" s="5" t="s">
        <v>58</v>
      </c>
      <c r="V228" s="5" t="s">
        <v>51</v>
      </c>
    </row>
    <row r="229" customFormat="false" ht="22.35" hidden="false" customHeight="false" outlineLevel="0" collapsed="false">
      <c r="A229" s="5" t="s">
        <v>2198</v>
      </c>
      <c r="B229" s="5" t="s">
        <v>2163</v>
      </c>
      <c r="C229" s="5" t="s">
        <v>2164</v>
      </c>
      <c r="D229" s="5" t="s">
        <v>2199</v>
      </c>
      <c r="E229" s="5" t="s">
        <v>2200</v>
      </c>
      <c r="F229" s="5" t="s">
        <v>2201</v>
      </c>
      <c r="G229" s="5" t="s">
        <v>1470</v>
      </c>
      <c r="H229" s="5" t="s">
        <v>2202</v>
      </c>
      <c r="I229" s="5" t="s">
        <v>578</v>
      </c>
      <c r="J229" s="5" t="s">
        <v>2203</v>
      </c>
      <c r="K229" s="5" t="s">
        <v>2204</v>
      </c>
      <c r="L229" s="5" t="s">
        <v>51</v>
      </c>
      <c r="M229" s="5" t="s">
        <v>52</v>
      </c>
      <c r="N229" s="5" t="s">
        <v>53</v>
      </c>
      <c r="O229" s="5" t="s">
        <v>67</v>
      </c>
      <c r="P229" s="5" t="n">
        <v>1</v>
      </c>
      <c r="Q229" s="5" t="s">
        <v>2205</v>
      </c>
      <c r="R229" s="5" t="s">
        <v>2206</v>
      </c>
      <c r="S229" s="5" t="s">
        <v>2207</v>
      </c>
      <c r="T229" s="5" t="s">
        <v>84</v>
      </c>
      <c r="U229" s="5" t="s">
        <v>58</v>
      </c>
      <c r="V229" s="5" t="s">
        <v>84</v>
      </c>
    </row>
    <row r="230" customFormat="false" ht="22.35" hidden="false" customHeight="false" outlineLevel="0" collapsed="false">
      <c r="A230" s="5" t="s">
        <v>2208</v>
      </c>
      <c r="B230" s="5" t="s">
        <v>2163</v>
      </c>
      <c r="C230" s="5" t="s">
        <v>2164</v>
      </c>
      <c r="D230" s="5" t="s">
        <v>2209</v>
      </c>
      <c r="E230" s="5" t="s">
        <v>2210</v>
      </c>
      <c r="F230" s="5" t="s">
        <v>2211</v>
      </c>
      <c r="G230" s="5" t="s">
        <v>1664</v>
      </c>
      <c r="H230" s="5" t="s">
        <v>2212</v>
      </c>
      <c r="I230" s="5" t="s">
        <v>1664</v>
      </c>
      <c r="J230" s="5" t="s">
        <v>2185</v>
      </c>
      <c r="K230" s="5" t="s">
        <v>2213</v>
      </c>
      <c r="L230" s="5" t="s">
        <v>51</v>
      </c>
      <c r="M230" s="5" t="s">
        <v>79</v>
      </c>
      <c r="N230" s="5" t="s">
        <v>53</v>
      </c>
      <c r="O230" s="5" t="s">
        <v>67</v>
      </c>
      <c r="P230" s="5" t="n">
        <v>1</v>
      </c>
      <c r="Q230" s="5" t="s">
        <v>2214</v>
      </c>
      <c r="R230" s="5" t="s">
        <v>2215</v>
      </c>
      <c r="S230" s="5" t="s">
        <v>2216</v>
      </c>
      <c r="T230" s="5" t="s">
        <v>84</v>
      </c>
      <c r="U230" s="5" t="s">
        <v>58</v>
      </c>
      <c r="V230" s="5" t="s">
        <v>51</v>
      </c>
    </row>
    <row r="231" customFormat="false" ht="22.35" hidden="false" customHeight="false" outlineLevel="0" collapsed="false">
      <c r="A231" s="5" t="s">
        <v>2217</v>
      </c>
      <c r="B231" s="5" t="s">
        <v>2163</v>
      </c>
      <c r="C231" s="5" t="s">
        <v>2164</v>
      </c>
      <c r="D231" s="5" t="s">
        <v>2218</v>
      </c>
      <c r="E231" s="5" t="s">
        <v>2219</v>
      </c>
      <c r="F231" s="5" t="s">
        <v>2220</v>
      </c>
      <c r="G231" s="5" t="s">
        <v>2221</v>
      </c>
      <c r="H231" s="5" t="s">
        <v>2222</v>
      </c>
      <c r="I231" s="5" t="s">
        <v>1115</v>
      </c>
      <c r="J231" s="5" t="s">
        <v>2223</v>
      </c>
      <c r="K231" s="5" t="s">
        <v>1647</v>
      </c>
      <c r="L231" s="5" t="s">
        <v>51</v>
      </c>
      <c r="M231" s="5" t="s">
        <v>2224</v>
      </c>
      <c r="N231" s="5" t="s">
        <v>53</v>
      </c>
      <c r="O231" s="5" t="s">
        <v>389</v>
      </c>
      <c r="P231" s="5" t="n">
        <v>1</v>
      </c>
      <c r="Q231" s="5" t="s">
        <v>2225</v>
      </c>
      <c r="R231" s="5" t="s">
        <v>2226</v>
      </c>
      <c r="S231" s="5" t="s">
        <v>2227</v>
      </c>
      <c r="T231" s="5" t="s">
        <v>51</v>
      </c>
      <c r="U231" s="5" t="s">
        <v>532</v>
      </c>
      <c r="V231" s="5" t="s">
        <v>84</v>
      </c>
    </row>
    <row r="232" customFormat="false" ht="22.35" hidden="false" customHeight="false" outlineLevel="0" collapsed="false">
      <c r="A232" s="5" t="s">
        <v>2228</v>
      </c>
      <c r="B232" s="5" t="s">
        <v>2229</v>
      </c>
      <c r="C232" s="5" t="s">
        <v>2230</v>
      </c>
      <c r="D232" s="5" t="s">
        <v>2231</v>
      </c>
      <c r="E232" s="5" t="s">
        <v>2232</v>
      </c>
      <c r="F232" s="5" t="s">
        <v>2233</v>
      </c>
      <c r="G232" s="5" t="s">
        <v>1664</v>
      </c>
      <c r="H232" s="5" t="s">
        <v>1130</v>
      </c>
      <c r="I232" s="5" t="s">
        <v>568</v>
      </c>
      <c r="J232" s="5" t="s">
        <v>2234</v>
      </c>
      <c r="K232" s="5" t="s">
        <v>2185</v>
      </c>
      <c r="L232" s="5" t="s">
        <v>51</v>
      </c>
      <c r="M232" s="5" t="s">
        <v>79</v>
      </c>
      <c r="N232" s="5" t="s">
        <v>53</v>
      </c>
      <c r="O232" s="5" t="s">
        <v>67</v>
      </c>
      <c r="P232" s="5" t="n">
        <v>1</v>
      </c>
      <c r="Q232" s="5" t="s">
        <v>2235</v>
      </c>
      <c r="R232" s="5" t="s">
        <v>2236</v>
      </c>
      <c r="S232" s="5" t="s">
        <v>2237</v>
      </c>
      <c r="T232" s="5" t="s">
        <v>84</v>
      </c>
      <c r="U232" s="5" t="s">
        <v>58</v>
      </c>
      <c r="V232" s="5" t="s">
        <v>84</v>
      </c>
    </row>
    <row r="233" customFormat="false" ht="22.35" hidden="false" customHeight="false" outlineLevel="0" collapsed="false">
      <c r="A233" s="5" t="s">
        <v>2238</v>
      </c>
      <c r="B233" s="5" t="s">
        <v>2229</v>
      </c>
      <c r="C233" s="5" t="s">
        <v>2230</v>
      </c>
      <c r="D233" s="5" t="s">
        <v>2239</v>
      </c>
      <c r="E233" s="5" t="s">
        <v>2240</v>
      </c>
      <c r="F233" s="5" t="s">
        <v>2241</v>
      </c>
      <c r="G233" s="5" t="s">
        <v>1470</v>
      </c>
      <c r="H233" s="5" t="s">
        <v>2202</v>
      </c>
      <c r="I233" s="5" t="s">
        <v>578</v>
      </c>
      <c r="J233" s="5" t="s">
        <v>2242</v>
      </c>
      <c r="K233" s="5" t="s">
        <v>2243</v>
      </c>
      <c r="L233" s="5" t="s">
        <v>51</v>
      </c>
      <c r="M233" s="5" t="s">
        <v>52</v>
      </c>
      <c r="N233" s="5" t="s">
        <v>164</v>
      </c>
      <c r="O233" s="5" t="s">
        <v>361</v>
      </c>
      <c r="P233" s="5" t="n">
        <v>2</v>
      </c>
      <c r="Q233" s="5" t="s">
        <v>2244</v>
      </c>
      <c r="R233" s="5" t="s">
        <v>2245</v>
      </c>
      <c r="S233" s="5" t="s">
        <v>2246</v>
      </c>
      <c r="T233" s="5" t="s">
        <v>84</v>
      </c>
      <c r="U233" s="5" t="s">
        <v>58</v>
      </c>
      <c r="V233" s="5" t="s">
        <v>84</v>
      </c>
    </row>
    <row r="234" customFormat="false" ht="22.35" hidden="false" customHeight="false" outlineLevel="0" collapsed="false">
      <c r="A234" s="5" t="s">
        <v>2247</v>
      </c>
      <c r="B234" s="5" t="s">
        <v>2229</v>
      </c>
      <c r="C234" s="5" t="s">
        <v>2230</v>
      </c>
      <c r="D234" s="5" t="s">
        <v>2248</v>
      </c>
      <c r="E234" s="5" t="s">
        <v>2249</v>
      </c>
      <c r="F234" s="5" t="s">
        <v>2250</v>
      </c>
      <c r="G234" s="5" t="s">
        <v>1664</v>
      </c>
      <c r="H234" s="5" t="s">
        <v>564</v>
      </c>
      <c r="I234" s="5" t="s">
        <v>1329</v>
      </c>
      <c r="J234" s="5" t="s">
        <v>2251</v>
      </c>
      <c r="K234" s="5" t="s">
        <v>2185</v>
      </c>
      <c r="L234" s="5" t="s">
        <v>51</v>
      </c>
      <c r="M234" s="5" t="s">
        <v>79</v>
      </c>
      <c r="N234" s="5" t="s">
        <v>53</v>
      </c>
      <c r="O234" s="5" t="s">
        <v>389</v>
      </c>
      <c r="P234" s="5" t="n">
        <v>1</v>
      </c>
      <c r="Q234" s="5" t="s">
        <v>2252</v>
      </c>
      <c r="R234" s="5" t="s">
        <v>2253</v>
      </c>
      <c r="S234" s="5" t="s">
        <v>2254</v>
      </c>
      <c r="T234" s="5" t="s">
        <v>84</v>
      </c>
      <c r="U234" s="5" t="s">
        <v>58</v>
      </c>
      <c r="V234" s="5" t="s">
        <v>51</v>
      </c>
    </row>
    <row r="235" customFormat="false" ht="22.35" hidden="false" customHeight="false" outlineLevel="0" collapsed="false">
      <c r="A235" s="5" t="s">
        <v>2255</v>
      </c>
      <c r="B235" s="5" t="s">
        <v>2229</v>
      </c>
      <c r="C235" s="5" t="s">
        <v>2230</v>
      </c>
      <c r="D235" s="5" t="s">
        <v>2256</v>
      </c>
      <c r="E235" s="5" t="s">
        <v>2257</v>
      </c>
      <c r="F235" s="5" t="s">
        <v>2258</v>
      </c>
      <c r="G235" s="5" t="s">
        <v>1664</v>
      </c>
      <c r="H235" s="5" t="s">
        <v>1365</v>
      </c>
      <c r="I235" s="5" t="s">
        <v>2259</v>
      </c>
      <c r="J235" s="5" t="s">
        <v>2260</v>
      </c>
      <c r="K235" s="5" t="s">
        <v>2261</v>
      </c>
      <c r="L235" s="5" t="s">
        <v>51</v>
      </c>
      <c r="M235" s="5" t="s">
        <v>79</v>
      </c>
      <c r="N235" s="5" t="s">
        <v>164</v>
      </c>
      <c r="O235" s="5" t="s">
        <v>238</v>
      </c>
      <c r="P235" s="5" t="n">
        <v>2</v>
      </c>
      <c r="Q235" s="5" t="s">
        <v>2262</v>
      </c>
      <c r="R235" s="5" t="s">
        <v>2263</v>
      </c>
      <c r="S235" s="5" t="s">
        <v>1400</v>
      </c>
      <c r="T235" s="5" t="s">
        <v>180</v>
      </c>
      <c r="U235" s="5" t="s">
        <v>58</v>
      </c>
      <c r="V235" s="5" t="s">
        <v>51</v>
      </c>
    </row>
    <row r="236" customFormat="false" ht="22.35" hidden="false" customHeight="false" outlineLevel="0" collapsed="false">
      <c r="A236" s="5" t="s">
        <v>2264</v>
      </c>
      <c r="B236" s="5" t="s">
        <v>2229</v>
      </c>
      <c r="C236" s="5" t="s">
        <v>2230</v>
      </c>
      <c r="D236" s="5" t="s">
        <v>2265</v>
      </c>
      <c r="E236" s="5" t="s">
        <v>2266</v>
      </c>
      <c r="F236" s="5" t="s">
        <v>2267</v>
      </c>
      <c r="G236" s="5" t="s">
        <v>1664</v>
      </c>
      <c r="H236" s="5" t="s">
        <v>1505</v>
      </c>
      <c r="I236" s="5" t="s">
        <v>1664</v>
      </c>
      <c r="J236" s="5" t="s">
        <v>2268</v>
      </c>
      <c r="K236" s="5" t="s">
        <v>1935</v>
      </c>
      <c r="L236" s="5" t="s">
        <v>51</v>
      </c>
      <c r="M236" s="5" t="s">
        <v>79</v>
      </c>
      <c r="N236" s="5" t="s">
        <v>164</v>
      </c>
      <c r="O236" s="5" t="s">
        <v>238</v>
      </c>
      <c r="P236" s="5" t="n">
        <v>2</v>
      </c>
      <c r="Q236" s="5" t="s">
        <v>1513</v>
      </c>
      <c r="R236" s="5" t="s">
        <v>2269</v>
      </c>
      <c r="S236" s="5" t="s">
        <v>1373</v>
      </c>
      <c r="T236" s="5" t="s">
        <v>180</v>
      </c>
      <c r="U236" s="5" t="s">
        <v>58</v>
      </c>
      <c r="V236" s="5" t="s">
        <v>51</v>
      </c>
    </row>
    <row r="237" customFormat="false" ht="22.35" hidden="false" customHeight="false" outlineLevel="0" collapsed="false">
      <c r="A237" s="5" t="s">
        <v>2270</v>
      </c>
      <c r="B237" s="5" t="s">
        <v>2229</v>
      </c>
      <c r="C237" s="5" t="s">
        <v>2230</v>
      </c>
      <c r="D237" s="5" t="s">
        <v>2271</v>
      </c>
      <c r="E237" s="5" t="s">
        <v>2272</v>
      </c>
      <c r="F237" s="5" t="s">
        <v>2273</v>
      </c>
      <c r="G237" s="5" t="s">
        <v>1470</v>
      </c>
      <c r="H237" s="5" t="s">
        <v>2274</v>
      </c>
      <c r="I237" s="5" t="s">
        <v>578</v>
      </c>
      <c r="J237" s="5" t="s">
        <v>2275</v>
      </c>
      <c r="K237" s="5" t="s">
        <v>2276</v>
      </c>
      <c r="L237" s="5" t="s">
        <v>51</v>
      </c>
      <c r="M237" s="5" t="s">
        <v>79</v>
      </c>
      <c r="N237" s="5" t="s">
        <v>53</v>
      </c>
      <c r="O237" s="5" t="s">
        <v>67</v>
      </c>
      <c r="P237" s="5" t="n">
        <v>1</v>
      </c>
      <c r="Q237" s="5" t="s">
        <v>2277</v>
      </c>
      <c r="R237" s="5" t="s">
        <v>2278</v>
      </c>
      <c r="S237" s="5" t="s">
        <v>1532</v>
      </c>
      <c r="T237" s="5" t="s">
        <v>84</v>
      </c>
      <c r="U237" s="5" t="s">
        <v>58</v>
      </c>
      <c r="V237" s="5" t="s">
        <v>84</v>
      </c>
    </row>
    <row r="238" customFormat="false" ht="22.35" hidden="false" customHeight="false" outlineLevel="0" collapsed="false">
      <c r="A238" s="5" t="s">
        <v>2279</v>
      </c>
      <c r="B238" s="5" t="s">
        <v>2229</v>
      </c>
      <c r="C238" s="5" t="s">
        <v>2230</v>
      </c>
      <c r="D238" s="5" t="s">
        <v>2280</v>
      </c>
      <c r="E238" s="5" t="s">
        <v>2281</v>
      </c>
      <c r="F238" s="5" t="s">
        <v>2282</v>
      </c>
      <c r="G238" s="5" t="s">
        <v>1664</v>
      </c>
      <c r="H238" s="5" t="s">
        <v>1392</v>
      </c>
      <c r="I238" s="5" t="s">
        <v>1664</v>
      </c>
      <c r="J238" s="5" t="s">
        <v>2268</v>
      </c>
      <c r="K238" s="5" t="s">
        <v>2283</v>
      </c>
      <c r="L238" s="5" t="s">
        <v>51</v>
      </c>
      <c r="M238" s="5" t="s">
        <v>408</v>
      </c>
      <c r="N238" s="5" t="s">
        <v>53</v>
      </c>
      <c r="O238" s="5" t="s">
        <v>67</v>
      </c>
      <c r="P238" s="5" t="n">
        <v>1</v>
      </c>
      <c r="Q238" s="5" t="s">
        <v>2284</v>
      </c>
      <c r="R238" s="5" t="s">
        <v>2285</v>
      </c>
      <c r="S238" s="5" t="s">
        <v>1400</v>
      </c>
      <c r="T238" s="5" t="s">
        <v>180</v>
      </c>
      <c r="U238" s="5" t="s">
        <v>58</v>
      </c>
      <c r="V238" s="5" t="s">
        <v>51</v>
      </c>
    </row>
    <row r="239" customFormat="false" ht="22.35" hidden="false" customHeight="false" outlineLevel="0" collapsed="false">
      <c r="A239" s="5" t="s">
        <v>2286</v>
      </c>
      <c r="B239" s="5" t="s">
        <v>2229</v>
      </c>
      <c r="C239" s="5" t="s">
        <v>2230</v>
      </c>
      <c r="D239" s="5" t="s">
        <v>2287</v>
      </c>
      <c r="E239" s="5" t="s">
        <v>2288</v>
      </c>
      <c r="F239" s="5" t="s">
        <v>2289</v>
      </c>
      <c r="G239" s="5" t="s">
        <v>1470</v>
      </c>
      <c r="H239" s="5" t="s">
        <v>2290</v>
      </c>
      <c r="I239" s="5" t="s">
        <v>1329</v>
      </c>
      <c r="J239" s="5" t="s">
        <v>2291</v>
      </c>
      <c r="K239" s="5" t="s">
        <v>2292</v>
      </c>
      <c r="L239" s="5" t="s">
        <v>51</v>
      </c>
      <c r="M239" s="5" t="s">
        <v>79</v>
      </c>
      <c r="N239" s="5" t="s">
        <v>53</v>
      </c>
      <c r="O239" s="5" t="s">
        <v>389</v>
      </c>
      <c r="P239" s="5" t="n">
        <v>1</v>
      </c>
      <c r="Q239" s="5" t="s">
        <v>2293</v>
      </c>
      <c r="R239" s="5" t="s">
        <v>2294</v>
      </c>
      <c r="S239" s="5" t="s">
        <v>2295</v>
      </c>
      <c r="T239" s="5" t="s">
        <v>84</v>
      </c>
      <c r="U239" s="5" t="s">
        <v>58</v>
      </c>
      <c r="V239" s="5" t="s">
        <v>51</v>
      </c>
    </row>
    <row r="240" customFormat="false" ht="22.35" hidden="false" customHeight="false" outlineLevel="0" collapsed="false">
      <c r="A240" s="5" t="s">
        <v>2296</v>
      </c>
      <c r="B240" s="5" t="s">
        <v>2229</v>
      </c>
      <c r="C240" s="5" t="s">
        <v>2230</v>
      </c>
      <c r="D240" s="5" t="s">
        <v>2297</v>
      </c>
      <c r="E240" s="5" t="s">
        <v>2298</v>
      </c>
      <c r="F240" s="5" t="s">
        <v>2299</v>
      </c>
      <c r="G240" s="5" t="s">
        <v>1664</v>
      </c>
      <c r="H240" s="5" t="s">
        <v>2300</v>
      </c>
      <c r="I240" s="5" t="s">
        <v>2259</v>
      </c>
      <c r="J240" s="5" t="s">
        <v>2139</v>
      </c>
      <c r="K240" s="5" t="s">
        <v>2301</v>
      </c>
      <c r="L240" s="5" t="s">
        <v>51</v>
      </c>
      <c r="M240" s="5" t="s">
        <v>52</v>
      </c>
      <c r="N240" s="5" t="s">
        <v>164</v>
      </c>
      <c r="O240" s="5" t="s">
        <v>238</v>
      </c>
      <c r="P240" s="5" t="n">
        <v>2</v>
      </c>
      <c r="Q240" s="5" t="s">
        <v>2302</v>
      </c>
      <c r="R240" s="5" t="s">
        <v>2303</v>
      </c>
      <c r="S240" s="5" t="s">
        <v>2304</v>
      </c>
      <c r="T240" s="5" t="s">
        <v>180</v>
      </c>
      <c r="U240" s="5" t="s">
        <v>58</v>
      </c>
      <c r="V240" s="5" t="s">
        <v>51</v>
      </c>
    </row>
    <row r="241" customFormat="false" ht="22.35" hidden="false" customHeight="false" outlineLevel="0" collapsed="false">
      <c r="A241" s="5" t="s">
        <v>2305</v>
      </c>
      <c r="B241" s="5" t="s">
        <v>2306</v>
      </c>
      <c r="C241" s="5" t="s">
        <v>2307</v>
      </c>
      <c r="D241" s="5" t="s">
        <v>2308</v>
      </c>
      <c r="E241" s="5" t="s">
        <v>2309</v>
      </c>
      <c r="F241" s="5" t="s">
        <v>2310</v>
      </c>
      <c r="G241" s="5" t="s">
        <v>1664</v>
      </c>
      <c r="H241" s="5" t="s">
        <v>1205</v>
      </c>
      <c r="I241" s="5" t="s">
        <v>1664</v>
      </c>
      <c r="J241" s="5" t="s">
        <v>1585</v>
      </c>
      <c r="K241" s="5" t="s">
        <v>1851</v>
      </c>
      <c r="L241" s="5" t="s">
        <v>51</v>
      </c>
      <c r="M241" s="5" t="s">
        <v>79</v>
      </c>
      <c r="N241" s="5" t="s">
        <v>53</v>
      </c>
      <c r="O241" s="5" t="s">
        <v>238</v>
      </c>
      <c r="P241" s="5" t="n">
        <v>2</v>
      </c>
      <c r="Q241" s="5" t="s">
        <v>2311</v>
      </c>
      <c r="R241" s="5" t="s">
        <v>2312</v>
      </c>
      <c r="S241" s="5" t="s">
        <v>2313</v>
      </c>
      <c r="T241" s="5" t="s">
        <v>84</v>
      </c>
      <c r="U241" s="5" t="s">
        <v>58</v>
      </c>
      <c r="V241" s="5" t="s">
        <v>51</v>
      </c>
    </row>
    <row r="242" customFormat="false" ht="22.35" hidden="false" customHeight="false" outlineLevel="0" collapsed="false">
      <c r="A242" s="5" t="s">
        <v>2314</v>
      </c>
      <c r="B242" s="5" t="s">
        <v>2306</v>
      </c>
      <c r="C242" s="5" t="s">
        <v>2307</v>
      </c>
      <c r="D242" s="5" t="s">
        <v>2315</v>
      </c>
      <c r="E242" s="5" t="s">
        <v>2316</v>
      </c>
      <c r="F242" s="5" t="s">
        <v>2317</v>
      </c>
      <c r="G242" s="5" t="s">
        <v>1664</v>
      </c>
      <c r="H242" s="5" t="s">
        <v>2305</v>
      </c>
      <c r="I242" s="5" t="s">
        <v>1664</v>
      </c>
      <c r="J242" s="5" t="s">
        <v>2318</v>
      </c>
      <c r="K242" s="5" t="s">
        <v>2319</v>
      </c>
      <c r="L242" s="5" t="s">
        <v>51</v>
      </c>
      <c r="M242" s="5" t="s">
        <v>79</v>
      </c>
      <c r="N242" s="5" t="s">
        <v>53</v>
      </c>
      <c r="O242" s="5" t="s">
        <v>238</v>
      </c>
      <c r="P242" s="5" t="n">
        <v>2</v>
      </c>
      <c r="Q242" s="5" t="s">
        <v>2320</v>
      </c>
      <c r="R242" s="5" t="s">
        <v>2321</v>
      </c>
      <c r="S242" s="5" t="s">
        <v>2322</v>
      </c>
      <c r="T242" s="5" t="s">
        <v>84</v>
      </c>
      <c r="U242" s="5" t="s">
        <v>58</v>
      </c>
      <c r="V242" s="5" t="s">
        <v>51</v>
      </c>
    </row>
    <row r="243" customFormat="false" ht="22.35" hidden="false" customHeight="false" outlineLevel="0" collapsed="false">
      <c r="A243" s="5" t="s">
        <v>2323</v>
      </c>
      <c r="B243" s="5" t="s">
        <v>2306</v>
      </c>
      <c r="C243" s="5" t="s">
        <v>2307</v>
      </c>
      <c r="D243" s="5" t="s">
        <v>2324</v>
      </c>
      <c r="E243" s="5" t="s">
        <v>2325</v>
      </c>
      <c r="F243" s="5" t="s">
        <v>2326</v>
      </c>
      <c r="G243" s="5" t="s">
        <v>1664</v>
      </c>
      <c r="H243" s="5" t="s">
        <v>2314</v>
      </c>
      <c r="I243" s="5" t="s">
        <v>1664</v>
      </c>
      <c r="J243" s="5" t="s">
        <v>2139</v>
      </c>
      <c r="K243" s="5" t="s">
        <v>2283</v>
      </c>
      <c r="L243" s="5" t="s">
        <v>51</v>
      </c>
      <c r="M243" s="5" t="s">
        <v>79</v>
      </c>
      <c r="N243" s="5" t="s">
        <v>53</v>
      </c>
      <c r="O243" s="5" t="s">
        <v>389</v>
      </c>
      <c r="P243" s="5" t="n">
        <v>1</v>
      </c>
      <c r="Q243" s="5" t="s">
        <v>2327</v>
      </c>
      <c r="R243" s="5" t="s">
        <v>2328</v>
      </c>
      <c r="S243" s="5" t="s">
        <v>2329</v>
      </c>
      <c r="T243" s="5" t="s">
        <v>84</v>
      </c>
      <c r="U243" s="5" t="s">
        <v>58</v>
      </c>
      <c r="V243" s="5" t="s">
        <v>51</v>
      </c>
    </row>
    <row r="244" customFormat="false" ht="22.35" hidden="false" customHeight="false" outlineLevel="0" collapsed="false">
      <c r="A244" s="5" t="s">
        <v>2330</v>
      </c>
      <c r="B244" s="5" t="s">
        <v>2331</v>
      </c>
      <c r="C244" s="5" t="s">
        <v>2332</v>
      </c>
      <c r="D244" s="5" t="s">
        <v>2333</v>
      </c>
      <c r="E244" s="5" t="s">
        <v>2334</v>
      </c>
      <c r="F244" s="5" t="s">
        <v>2335</v>
      </c>
      <c r="G244" s="5" t="s">
        <v>313</v>
      </c>
      <c r="H244" s="5" t="s">
        <v>289</v>
      </c>
      <c r="I244" s="5" t="s">
        <v>196</v>
      </c>
      <c r="J244" s="5" t="s">
        <v>2336</v>
      </c>
      <c r="K244" s="5" t="s">
        <v>315</v>
      </c>
      <c r="L244" s="5" t="s">
        <v>84</v>
      </c>
      <c r="M244" s="5" t="s">
        <v>79</v>
      </c>
      <c r="N244" s="5" t="s">
        <v>53</v>
      </c>
      <c r="O244" s="5" t="s">
        <v>1103</v>
      </c>
      <c r="P244" s="5" t="n">
        <v>1</v>
      </c>
      <c r="Q244" s="5" t="s">
        <v>2337</v>
      </c>
      <c r="R244" s="5" t="s">
        <v>2338</v>
      </c>
      <c r="S244" s="5" t="s">
        <v>2339</v>
      </c>
      <c r="T244" s="5" t="s">
        <v>84</v>
      </c>
      <c r="U244" s="5" t="s">
        <v>58</v>
      </c>
      <c r="V244" s="5" t="s">
        <v>51</v>
      </c>
    </row>
    <row r="245" customFormat="false" ht="22.35" hidden="false" customHeight="false" outlineLevel="0" collapsed="false">
      <c r="A245" s="5" t="s">
        <v>2340</v>
      </c>
      <c r="B245" s="5" t="s">
        <v>2331</v>
      </c>
      <c r="C245" s="5" t="s">
        <v>2332</v>
      </c>
      <c r="D245" s="5" t="s">
        <v>2341</v>
      </c>
      <c r="E245" s="5" t="s">
        <v>2342</v>
      </c>
      <c r="F245" s="5" t="s">
        <v>2343</v>
      </c>
      <c r="G245" s="5" t="s">
        <v>1664</v>
      </c>
      <c r="H245" s="5" t="s">
        <v>2330</v>
      </c>
      <c r="I245" s="5" t="s">
        <v>1664</v>
      </c>
      <c r="J245" s="5" t="s">
        <v>2268</v>
      </c>
      <c r="K245" s="5" t="s">
        <v>1851</v>
      </c>
      <c r="L245" s="5" t="s">
        <v>51</v>
      </c>
      <c r="M245" s="5" t="s">
        <v>79</v>
      </c>
      <c r="N245" s="5" t="s">
        <v>164</v>
      </c>
      <c r="O245" s="5" t="s">
        <v>361</v>
      </c>
      <c r="P245" s="5" t="n">
        <v>2</v>
      </c>
      <c r="Q245" s="5" t="s">
        <v>2344</v>
      </c>
      <c r="R245" s="5" t="s">
        <v>2345</v>
      </c>
      <c r="S245" s="5" t="s">
        <v>2346</v>
      </c>
      <c r="T245" s="5" t="s">
        <v>84</v>
      </c>
      <c r="U245" s="5" t="s">
        <v>58</v>
      </c>
      <c r="V245" s="5" t="s">
        <v>51</v>
      </c>
    </row>
    <row r="246" customFormat="false" ht="22.35" hidden="false" customHeight="false" outlineLevel="0" collapsed="false">
      <c r="A246" s="5" t="s">
        <v>2347</v>
      </c>
      <c r="B246" s="5" t="s">
        <v>2331</v>
      </c>
      <c r="C246" s="5" t="s">
        <v>2332</v>
      </c>
      <c r="D246" s="5" t="s">
        <v>2348</v>
      </c>
      <c r="E246" s="5" t="s">
        <v>2349</v>
      </c>
      <c r="F246" s="5" t="s">
        <v>2350</v>
      </c>
      <c r="G246" s="5" t="s">
        <v>1664</v>
      </c>
      <c r="H246" s="5" t="s">
        <v>2340</v>
      </c>
      <c r="I246" s="5" t="s">
        <v>1115</v>
      </c>
      <c r="J246" s="5" t="s">
        <v>2351</v>
      </c>
      <c r="K246" s="5" t="s">
        <v>1217</v>
      </c>
      <c r="L246" s="5" t="s">
        <v>51</v>
      </c>
      <c r="M246" s="5" t="s">
        <v>79</v>
      </c>
      <c r="N246" s="5" t="s">
        <v>164</v>
      </c>
      <c r="O246" s="5" t="s">
        <v>831</v>
      </c>
      <c r="P246" s="5" t="n">
        <v>3</v>
      </c>
      <c r="Q246" s="5" t="s">
        <v>2352</v>
      </c>
      <c r="R246" s="5" t="s">
        <v>2353</v>
      </c>
      <c r="S246" s="5" t="s">
        <v>2354</v>
      </c>
      <c r="T246" s="5" t="s">
        <v>84</v>
      </c>
      <c r="U246" s="5" t="s">
        <v>58</v>
      </c>
      <c r="V246" s="5" t="s">
        <v>51</v>
      </c>
    </row>
    <row r="247" customFormat="false" ht="22.35" hidden="false" customHeight="false" outlineLevel="0" collapsed="false">
      <c r="A247" s="5" t="s">
        <v>2355</v>
      </c>
      <c r="B247" s="5" t="s">
        <v>2356</v>
      </c>
      <c r="C247" s="5" t="s">
        <v>1664</v>
      </c>
      <c r="D247" s="5" t="s">
        <v>2357</v>
      </c>
      <c r="E247" s="5" t="s">
        <v>2358</v>
      </c>
      <c r="F247" s="5" t="s">
        <v>2359</v>
      </c>
      <c r="G247" s="5" t="s">
        <v>1664</v>
      </c>
      <c r="H247" s="5" t="s">
        <v>297</v>
      </c>
      <c r="I247" s="5" t="s">
        <v>1664</v>
      </c>
      <c r="J247" s="5" t="s">
        <v>2360</v>
      </c>
      <c r="K247" s="5" t="s">
        <v>2361</v>
      </c>
      <c r="L247" s="5" t="s">
        <v>51</v>
      </c>
      <c r="M247" s="5" t="s">
        <v>79</v>
      </c>
      <c r="N247" s="5" t="s">
        <v>53</v>
      </c>
      <c r="O247" s="5" t="s">
        <v>67</v>
      </c>
      <c r="P247" s="5" t="n">
        <v>1</v>
      </c>
      <c r="Q247" s="5" t="s">
        <v>2362</v>
      </c>
      <c r="R247" s="5" t="s">
        <v>2363</v>
      </c>
      <c r="S247" s="5" t="s">
        <v>2364</v>
      </c>
      <c r="T247" s="5" t="s">
        <v>84</v>
      </c>
      <c r="U247" s="5" t="s">
        <v>58</v>
      </c>
      <c r="V247" s="5" t="s">
        <v>51</v>
      </c>
    </row>
    <row r="248" customFormat="false" ht="32.8" hidden="false" customHeight="false" outlineLevel="0" collapsed="false">
      <c r="A248" s="5" t="s">
        <v>2365</v>
      </c>
      <c r="B248" s="5" t="s">
        <v>2356</v>
      </c>
      <c r="C248" s="5" t="s">
        <v>1664</v>
      </c>
      <c r="D248" s="5" t="s">
        <v>2366</v>
      </c>
      <c r="E248" s="5" t="s">
        <v>2367</v>
      </c>
      <c r="F248" s="5" t="s">
        <v>2368</v>
      </c>
      <c r="G248" s="5" t="s">
        <v>1664</v>
      </c>
      <c r="H248" s="5" t="s">
        <v>2355</v>
      </c>
      <c r="I248" s="5" t="s">
        <v>2369</v>
      </c>
      <c r="J248" s="5" t="s">
        <v>2370</v>
      </c>
      <c r="K248" s="5" t="s">
        <v>2371</v>
      </c>
      <c r="L248" s="5" t="s">
        <v>51</v>
      </c>
      <c r="M248" s="5" t="s">
        <v>79</v>
      </c>
      <c r="N248" s="5" t="s">
        <v>164</v>
      </c>
      <c r="O248" s="5" t="s">
        <v>950</v>
      </c>
      <c r="P248" s="5" t="n">
        <v>5</v>
      </c>
      <c r="Q248" s="5" t="s">
        <v>2372</v>
      </c>
      <c r="R248" s="5" t="s">
        <v>2373</v>
      </c>
      <c r="S248" s="5" t="s">
        <v>2374</v>
      </c>
      <c r="T248" s="5" t="s">
        <v>84</v>
      </c>
      <c r="U248" s="5" t="s">
        <v>58</v>
      </c>
      <c r="V248" s="5" t="s">
        <v>51</v>
      </c>
    </row>
    <row r="249" customFormat="false" ht="22.35" hidden="false" customHeight="false" outlineLevel="0" collapsed="false">
      <c r="A249" s="5" t="s">
        <v>2375</v>
      </c>
      <c r="B249" s="5" t="s">
        <v>2356</v>
      </c>
      <c r="C249" s="5" t="s">
        <v>1664</v>
      </c>
      <c r="D249" s="5" t="s">
        <v>2376</v>
      </c>
      <c r="E249" s="5" t="s">
        <v>2377</v>
      </c>
      <c r="F249" s="5" t="s">
        <v>2378</v>
      </c>
      <c r="G249" s="5" t="s">
        <v>1664</v>
      </c>
      <c r="H249" s="5" t="s">
        <v>886</v>
      </c>
      <c r="I249" s="5" t="s">
        <v>2379</v>
      </c>
      <c r="J249" s="5" t="s">
        <v>2380</v>
      </c>
      <c r="K249" s="5" t="s">
        <v>2139</v>
      </c>
      <c r="L249" s="5" t="s">
        <v>51</v>
      </c>
      <c r="M249" s="5" t="s">
        <v>79</v>
      </c>
      <c r="N249" s="5" t="s">
        <v>53</v>
      </c>
      <c r="O249" s="5" t="s">
        <v>238</v>
      </c>
      <c r="P249" s="5" t="n">
        <v>2</v>
      </c>
      <c r="Q249" s="5" t="s">
        <v>2381</v>
      </c>
      <c r="R249" s="5" t="s">
        <v>2382</v>
      </c>
      <c r="S249" s="5" t="s">
        <v>1614</v>
      </c>
      <c r="T249" s="5" t="s">
        <v>84</v>
      </c>
      <c r="U249" s="5" t="s">
        <v>58</v>
      </c>
      <c r="V249" s="5" t="s">
        <v>84</v>
      </c>
    </row>
    <row r="250" customFormat="false" ht="22.35" hidden="false" customHeight="false" outlineLevel="0" collapsed="false">
      <c r="A250" s="5" t="s">
        <v>2383</v>
      </c>
      <c r="B250" s="5" t="s">
        <v>2356</v>
      </c>
      <c r="C250" s="5" t="s">
        <v>1664</v>
      </c>
      <c r="D250" s="5" t="s">
        <v>2384</v>
      </c>
      <c r="E250" s="5" t="s">
        <v>2385</v>
      </c>
      <c r="F250" s="5" t="s">
        <v>2386</v>
      </c>
      <c r="G250" s="5" t="s">
        <v>1664</v>
      </c>
      <c r="H250" s="5" t="s">
        <v>2387</v>
      </c>
      <c r="I250" s="5" t="s">
        <v>1664</v>
      </c>
      <c r="J250" s="5" t="s">
        <v>2388</v>
      </c>
      <c r="K250" s="5" t="s">
        <v>2139</v>
      </c>
      <c r="L250" s="5" t="s">
        <v>51</v>
      </c>
      <c r="M250" s="5" t="s">
        <v>79</v>
      </c>
      <c r="N250" s="5" t="s">
        <v>53</v>
      </c>
      <c r="O250" s="5" t="s">
        <v>176</v>
      </c>
      <c r="P250" s="5" t="n">
        <v>1</v>
      </c>
      <c r="Q250" s="5" t="s">
        <v>2389</v>
      </c>
      <c r="R250" s="5" t="s">
        <v>2390</v>
      </c>
      <c r="S250" s="5" t="s">
        <v>2391</v>
      </c>
      <c r="T250" s="5" t="s">
        <v>84</v>
      </c>
      <c r="U250" s="5" t="s">
        <v>58</v>
      </c>
      <c r="V250" s="5" t="s">
        <v>84</v>
      </c>
    </row>
    <row r="251" customFormat="false" ht="22.35" hidden="false" customHeight="false" outlineLevel="0" collapsed="false">
      <c r="A251" s="5" t="s">
        <v>2392</v>
      </c>
      <c r="B251" s="5" t="s">
        <v>2356</v>
      </c>
      <c r="C251" s="5" t="s">
        <v>1664</v>
      </c>
      <c r="D251" s="5" t="s">
        <v>2393</v>
      </c>
      <c r="E251" s="5" t="s">
        <v>2394</v>
      </c>
      <c r="F251" s="5" t="s">
        <v>2395</v>
      </c>
      <c r="G251" s="5" t="s">
        <v>2396</v>
      </c>
      <c r="H251" s="5" t="s">
        <v>2365</v>
      </c>
      <c r="I251" s="5" t="s">
        <v>196</v>
      </c>
      <c r="J251" s="5" t="s">
        <v>2397</v>
      </c>
      <c r="K251" s="5" t="s">
        <v>2398</v>
      </c>
      <c r="L251" s="5" t="s">
        <v>51</v>
      </c>
      <c r="M251" s="5" t="s">
        <v>52</v>
      </c>
      <c r="N251" s="5" t="s">
        <v>53</v>
      </c>
      <c r="O251" s="5" t="s">
        <v>67</v>
      </c>
      <c r="P251" s="5" t="n">
        <v>1</v>
      </c>
      <c r="Q251" s="5" t="s">
        <v>2399</v>
      </c>
      <c r="R251" s="5" t="s">
        <v>2400</v>
      </c>
      <c r="S251" s="5" t="s">
        <v>2401</v>
      </c>
      <c r="T251" s="5" t="s">
        <v>84</v>
      </c>
      <c r="U251" s="5" t="s">
        <v>58</v>
      </c>
      <c r="V251" s="5" t="s">
        <v>51</v>
      </c>
    </row>
    <row r="252" customFormat="false" ht="22.35" hidden="false" customHeight="false" outlineLevel="0" collapsed="false">
      <c r="A252" s="5" t="s">
        <v>2402</v>
      </c>
      <c r="B252" s="5" t="s">
        <v>2403</v>
      </c>
      <c r="C252" s="5" t="s">
        <v>2404</v>
      </c>
      <c r="D252" s="5" t="s">
        <v>2405</v>
      </c>
      <c r="E252" s="5" t="s">
        <v>2406</v>
      </c>
      <c r="F252" s="5" t="s">
        <v>2407</v>
      </c>
      <c r="G252" s="5" t="s">
        <v>1664</v>
      </c>
      <c r="H252" s="5" t="s">
        <v>2408</v>
      </c>
      <c r="I252" s="5" t="s">
        <v>2409</v>
      </c>
      <c r="J252" s="5" t="s">
        <v>2410</v>
      </c>
      <c r="K252" s="5" t="s">
        <v>2411</v>
      </c>
      <c r="L252" s="5" t="s">
        <v>51</v>
      </c>
      <c r="M252" s="5" t="s">
        <v>79</v>
      </c>
      <c r="N252" s="5" t="s">
        <v>53</v>
      </c>
      <c r="O252" s="5" t="s">
        <v>2412</v>
      </c>
      <c r="P252" s="5" t="n">
        <v>1</v>
      </c>
      <c r="Q252" s="5" t="s">
        <v>2413</v>
      </c>
      <c r="R252" s="5" t="s">
        <v>2414</v>
      </c>
      <c r="S252" s="5" t="s">
        <v>2415</v>
      </c>
      <c r="T252" s="5" t="s">
        <v>84</v>
      </c>
      <c r="U252" s="5" t="s">
        <v>58</v>
      </c>
      <c r="V252" s="5" t="s">
        <v>84</v>
      </c>
    </row>
    <row r="253" customFormat="false" ht="22.35" hidden="false" customHeight="false" outlineLevel="0" collapsed="false">
      <c r="A253" s="5" t="s">
        <v>2387</v>
      </c>
      <c r="B253" s="5" t="s">
        <v>2403</v>
      </c>
      <c r="C253" s="5" t="s">
        <v>2404</v>
      </c>
      <c r="D253" s="5" t="s">
        <v>2416</v>
      </c>
      <c r="E253" s="5" t="s">
        <v>2417</v>
      </c>
      <c r="F253" s="5" t="s">
        <v>2418</v>
      </c>
      <c r="G253" s="5" t="s">
        <v>1664</v>
      </c>
      <c r="H253" s="5" t="s">
        <v>2402</v>
      </c>
      <c r="I253" s="5" t="s">
        <v>568</v>
      </c>
      <c r="J253" s="5" t="s">
        <v>2351</v>
      </c>
      <c r="K253" s="5" t="s">
        <v>2419</v>
      </c>
      <c r="L253" s="5" t="s">
        <v>51</v>
      </c>
      <c r="M253" s="5" t="s">
        <v>79</v>
      </c>
      <c r="N253" s="5" t="s">
        <v>1548</v>
      </c>
      <c r="O253" s="5" t="s">
        <v>1548</v>
      </c>
      <c r="P253" s="5" t="n">
        <v>1</v>
      </c>
      <c r="Q253" s="5" t="s">
        <v>1322</v>
      </c>
      <c r="R253" s="5" t="s">
        <v>2420</v>
      </c>
      <c r="S253" s="5" t="s">
        <v>2421</v>
      </c>
      <c r="T253" s="5" t="s">
        <v>84</v>
      </c>
      <c r="U253" s="5" t="s">
        <v>58</v>
      </c>
      <c r="V253" s="5" t="s">
        <v>84</v>
      </c>
    </row>
    <row r="254" customFormat="false" ht="22.35" hidden="false" customHeight="false" outlineLevel="0" collapsed="false">
      <c r="A254" s="5" t="s">
        <v>2422</v>
      </c>
      <c r="B254" s="5" t="s">
        <v>2403</v>
      </c>
      <c r="C254" s="5" t="s">
        <v>2404</v>
      </c>
      <c r="D254" s="5" t="s">
        <v>2423</v>
      </c>
      <c r="E254" s="5" t="s">
        <v>2424</v>
      </c>
      <c r="F254" s="5" t="s">
        <v>2425</v>
      </c>
      <c r="G254" s="5" t="s">
        <v>1664</v>
      </c>
      <c r="H254" s="5" t="s">
        <v>2387</v>
      </c>
      <c r="I254" s="5" t="s">
        <v>1664</v>
      </c>
      <c r="J254" s="5" t="s">
        <v>2426</v>
      </c>
      <c r="K254" s="5" t="s">
        <v>2427</v>
      </c>
      <c r="L254" s="5" t="s">
        <v>51</v>
      </c>
      <c r="M254" s="5" t="s">
        <v>79</v>
      </c>
      <c r="N254" s="5" t="s">
        <v>53</v>
      </c>
      <c r="O254" s="5" t="s">
        <v>2428</v>
      </c>
      <c r="P254" s="5" t="n">
        <v>1</v>
      </c>
      <c r="Q254" s="5" t="s">
        <v>2429</v>
      </c>
      <c r="R254" s="5" t="s">
        <v>2430</v>
      </c>
      <c r="S254" s="5" t="s">
        <v>2431</v>
      </c>
      <c r="T254" s="5" t="s">
        <v>84</v>
      </c>
      <c r="U254" s="5" t="s">
        <v>58</v>
      </c>
      <c r="V254" s="5" t="s">
        <v>84</v>
      </c>
    </row>
    <row r="255" customFormat="false" ht="22.35" hidden="false" customHeight="false" outlineLevel="0" collapsed="false">
      <c r="A255" s="5" t="s">
        <v>2432</v>
      </c>
      <c r="B255" s="5" t="s">
        <v>2433</v>
      </c>
      <c r="C255" s="5" t="s">
        <v>2434</v>
      </c>
      <c r="D255" s="5" t="s">
        <v>2435</v>
      </c>
      <c r="E255" s="5" t="s">
        <v>2436</v>
      </c>
      <c r="F255" s="5" t="s">
        <v>2437</v>
      </c>
      <c r="G255" s="5" t="s">
        <v>2396</v>
      </c>
      <c r="H255" s="5" t="s">
        <v>2392</v>
      </c>
      <c r="I255" s="5" t="s">
        <v>196</v>
      </c>
      <c r="J255" s="5" t="s">
        <v>162</v>
      </c>
      <c r="K255" s="5" t="s">
        <v>398</v>
      </c>
      <c r="L255" s="5" t="s">
        <v>51</v>
      </c>
      <c r="M255" s="5" t="s">
        <v>52</v>
      </c>
      <c r="N255" s="5" t="s">
        <v>53</v>
      </c>
      <c r="O255" s="5" t="s">
        <v>67</v>
      </c>
      <c r="P255" s="5" t="n">
        <v>1</v>
      </c>
      <c r="Q255" s="5" t="s">
        <v>2438</v>
      </c>
      <c r="R255" s="5" t="s">
        <v>2439</v>
      </c>
      <c r="S255" s="5" t="s">
        <v>2440</v>
      </c>
      <c r="T255" s="5" t="s">
        <v>84</v>
      </c>
      <c r="U255" s="5" t="s">
        <v>58</v>
      </c>
      <c r="V255" s="5" t="s">
        <v>51</v>
      </c>
    </row>
    <row r="256" customFormat="false" ht="22.35" hidden="false" customHeight="false" outlineLevel="0" collapsed="false">
      <c r="A256" s="5" t="s">
        <v>2441</v>
      </c>
      <c r="B256" s="5" t="s">
        <v>2433</v>
      </c>
      <c r="C256" s="5" t="s">
        <v>2434</v>
      </c>
      <c r="D256" s="5" t="s">
        <v>2442</v>
      </c>
      <c r="E256" s="5" t="s">
        <v>2443</v>
      </c>
      <c r="F256" s="5" t="s">
        <v>1084</v>
      </c>
      <c r="G256" s="5" t="s">
        <v>2396</v>
      </c>
      <c r="H256" s="5" t="s">
        <v>2432</v>
      </c>
      <c r="I256" s="5" t="s">
        <v>196</v>
      </c>
      <c r="J256" s="5" t="s">
        <v>958</v>
      </c>
      <c r="K256" s="5" t="s">
        <v>2444</v>
      </c>
      <c r="L256" s="5" t="s">
        <v>84</v>
      </c>
      <c r="M256" s="5" t="s">
        <v>79</v>
      </c>
      <c r="N256" s="5" t="s">
        <v>53</v>
      </c>
      <c r="O256" s="5" t="s">
        <v>389</v>
      </c>
      <c r="P256" s="5" t="n">
        <v>1</v>
      </c>
      <c r="Q256" s="5" t="s">
        <v>2445</v>
      </c>
      <c r="R256" s="5" t="s">
        <v>2446</v>
      </c>
      <c r="S256" s="5" t="s">
        <v>2447</v>
      </c>
      <c r="T256" s="5" t="s">
        <v>84</v>
      </c>
      <c r="U256" s="5" t="s">
        <v>58</v>
      </c>
      <c r="V256" s="5" t="s">
        <v>51</v>
      </c>
    </row>
    <row r="257" customFormat="false" ht="22.35" hidden="false" customHeight="false" outlineLevel="0" collapsed="false">
      <c r="A257" s="5" t="s">
        <v>2448</v>
      </c>
      <c r="B257" s="5" t="s">
        <v>2433</v>
      </c>
      <c r="C257" s="5" t="s">
        <v>2434</v>
      </c>
      <c r="D257" s="5" t="s">
        <v>2449</v>
      </c>
      <c r="E257" s="5" t="s">
        <v>2450</v>
      </c>
      <c r="F257" s="5" t="s">
        <v>2451</v>
      </c>
      <c r="G257" s="5" t="s">
        <v>2396</v>
      </c>
      <c r="H257" s="5" t="s">
        <v>2441</v>
      </c>
      <c r="I257" s="5" t="s">
        <v>196</v>
      </c>
      <c r="J257" s="5" t="s">
        <v>2452</v>
      </c>
      <c r="K257" s="5" t="s">
        <v>2453</v>
      </c>
      <c r="L257" s="5" t="s">
        <v>84</v>
      </c>
      <c r="M257" s="5" t="s">
        <v>79</v>
      </c>
      <c r="N257" s="5" t="s">
        <v>53</v>
      </c>
      <c r="O257" s="5" t="s">
        <v>67</v>
      </c>
      <c r="P257" s="5" t="n">
        <v>1</v>
      </c>
      <c r="Q257" s="5" t="s">
        <v>2454</v>
      </c>
      <c r="R257" s="5" t="s">
        <v>2455</v>
      </c>
      <c r="S257" s="5" t="s">
        <v>2456</v>
      </c>
      <c r="T257" s="5" t="s">
        <v>84</v>
      </c>
      <c r="U257" s="5" t="s">
        <v>58</v>
      </c>
      <c r="V257" s="5" t="s">
        <v>51</v>
      </c>
    </row>
    <row r="258" customFormat="false" ht="22.35" hidden="false" customHeight="false" outlineLevel="0" collapsed="false">
      <c r="A258" s="5" t="s">
        <v>2457</v>
      </c>
      <c r="B258" s="5" t="s">
        <v>2458</v>
      </c>
      <c r="C258" s="5" t="s">
        <v>2459</v>
      </c>
      <c r="D258" s="5" t="s">
        <v>2460</v>
      </c>
      <c r="E258" s="5" t="s">
        <v>2461</v>
      </c>
      <c r="F258" s="5" t="s">
        <v>2462</v>
      </c>
      <c r="G258" s="5" t="s">
        <v>2396</v>
      </c>
      <c r="H258" s="5" t="s">
        <v>2448</v>
      </c>
      <c r="I258" s="5" t="s">
        <v>2463</v>
      </c>
      <c r="J258" s="5" t="s">
        <v>2464</v>
      </c>
      <c r="K258" s="5" t="s">
        <v>2465</v>
      </c>
      <c r="L258" s="5" t="s">
        <v>84</v>
      </c>
      <c r="M258" s="5" t="s">
        <v>79</v>
      </c>
      <c r="N258" s="5" t="s">
        <v>164</v>
      </c>
      <c r="O258" s="5" t="s">
        <v>2466</v>
      </c>
      <c r="P258" s="5" t="n">
        <v>6</v>
      </c>
      <c r="Q258" s="5" t="s">
        <v>2467</v>
      </c>
      <c r="R258" s="5" t="s">
        <v>2468</v>
      </c>
      <c r="S258" s="5" t="s">
        <v>2469</v>
      </c>
      <c r="T258" s="5" t="s">
        <v>84</v>
      </c>
      <c r="U258" s="5" t="s">
        <v>58</v>
      </c>
      <c r="V258" s="5" t="s">
        <v>51</v>
      </c>
    </row>
    <row r="259" customFormat="false" ht="22.35" hidden="false" customHeight="false" outlineLevel="0" collapsed="false">
      <c r="A259" s="5" t="s">
        <v>2470</v>
      </c>
      <c r="B259" s="5" t="s">
        <v>2458</v>
      </c>
      <c r="C259" s="5" t="s">
        <v>2459</v>
      </c>
      <c r="D259" s="5" t="s">
        <v>2471</v>
      </c>
      <c r="E259" s="5" t="s">
        <v>2472</v>
      </c>
      <c r="F259" s="5" t="s">
        <v>2473</v>
      </c>
      <c r="G259" s="5" t="s">
        <v>2396</v>
      </c>
      <c r="H259" s="5" t="s">
        <v>2457</v>
      </c>
      <c r="I259" s="5" t="s">
        <v>2463</v>
      </c>
      <c r="J259" s="5" t="s">
        <v>2464</v>
      </c>
      <c r="K259" s="5" t="s">
        <v>2474</v>
      </c>
      <c r="L259" s="5" t="s">
        <v>84</v>
      </c>
      <c r="M259" s="5" t="s">
        <v>52</v>
      </c>
      <c r="N259" s="5" t="s">
        <v>53</v>
      </c>
      <c r="O259" s="5" t="s">
        <v>831</v>
      </c>
      <c r="P259" s="5" t="n">
        <v>3</v>
      </c>
      <c r="Q259" s="5" t="s">
        <v>967</v>
      </c>
      <c r="R259" s="5" t="s">
        <v>2475</v>
      </c>
      <c r="S259" s="5" t="s">
        <v>492</v>
      </c>
      <c r="T259" s="5" t="s">
        <v>84</v>
      </c>
      <c r="U259" s="5" t="s">
        <v>58</v>
      </c>
      <c r="V259" s="5" t="s">
        <v>51</v>
      </c>
    </row>
    <row r="260" customFormat="false" ht="22.35" hidden="false" customHeight="false" outlineLevel="0" collapsed="false">
      <c r="A260" s="5" t="s">
        <v>2476</v>
      </c>
      <c r="B260" s="5" t="s">
        <v>2458</v>
      </c>
      <c r="C260" s="5" t="s">
        <v>2459</v>
      </c>
      <c r="D260" s="5" t="s">
        <v>2477</v>
      </c>
      <c r="E260" s="5" t="s">
        <v>2478</v>
      </c>
      <c r="F260" s="5" t="s">
        <v>2479</v>
      </c>
      <c r="G260" s="5" t="s">
        <v>2396</v>
      </c>
      <c r="H260" s="5" t="s">
        <v>2457</v>
      </c>
      <c r="I260" s="5" t="s">
        <v>196</v>
      </c>
      <c r="J260" s="5" t="s">
        <v>2480</v>
      </c>
      <c r="K260" s="5" t="s">
        <v>2481</v>
      </c>
      <c r="L260" s="5" t="s">
        <v>51</v>
      </c>
      <c r="M260" s="5" t="s">
        <v>79</v>
      </c>
      <c r="N260" s="5" t="s">
        <v>53</v>
      </c>
      <c r="O260" s="5" t="s">
        <v>633</v>
      </c>
      <c r="P260" s="5" t="n">
        <v>1</v>
      </c>
      <c r="Q260" s="5" t="s">
        <v>2482</v>
      </c>
      <c r="R260" s="5" t="s">
        <v>2483</v>
      </c>
      <c r="S260" s="5" t="s">
        <v>2484</v>
      </c>
      <c r="T260" s="5" t="s">
        <v>84</v>
      </c>
      <c r="U260" s="5" t="s">
        <v>58</v>
      </c>
      <c r="V260" s="5" t="s">
        <v>51</v>
      </c>
    </row>
    <row r="261" customFormat="false" ht="22.35" hidden="false" customHeight="false" outlineLevel="0" collapsed="false">
      <c r="A261" s="5" t="s">
        <v>2485</v>
      </c>
      <c r="B261" s="5" t="s">
        <v>2486</v>
      </c>
      <c r="C261" s="5" t="s">
        <v>2487</v>
      </c>
      <c r="D261" s="5" t="s">
        <v>2488</v>
      </c>
      <c r="E261" s="5" t="s">
        <v>2489</v>
      </c>
      <c r="F261" s="5" t="s">
        <v>2490</v>
      </c>
      <c r="G261" s="5" t="s">
        <v>2491</v>
      </c>
      <c r="H261" s="5" t="s">
        <v>297</v>
      </c>
      <c r="I261" s="5" t="s">
        <v>196</v>
      </c>
      <c r="J261" s="5" t="s">
        <v>2492</v>
      </c>
      <c r="K261" s="5" t="s">
        <v>2493</v>
      </c>
      <c r="L261" s="5" t="s">
        <v>51</v>
      </c>
      <c r="M261" s="5" t="s">
        <v>79</v>
      </c>
      <c r="N261" s="5" t="s">
        <v>53</v>
      </c>
      <c r="O261" s="5" t="s">
        <v>228</v>
      </c>
      <c r="P261" s="5" t="n">
        <v>1</v>
      </c>
      <c r="Q261" s="5" t="s">
        <v>2494</v>
      </c>
      <c r="R261" s="5" t="s">
        <v>2495</v>
      </c>
      <c r="S261" s="5" t="s">
        <v>492</v>
      </c>
      <c r="T261" s="5" t="s">
        <v>84</v>
      </c>
      <c r="U261" s="5" t="s">
        <v>58</v>
      </c>
      <c r="V261" s="5" t="s">
        <v>51</v>
      </c>
    </row>
    <row r="262" customFormat="false" ht="22.35" hidden="false" customHeight="false" outlineLevel="0" collapsed="false">
      <c r="A262" s="5" t="s">
        <v>2496</v>
      </c>
      <c r="B262" s="5" t="s">
        <v>2486</v>
      </c>
      <c r="C262" s="5" t="s">
        <v>2487</v>
      </c>
      <c r="D262" s="5" t="s">
        <v>2497</v>
      </c>
      <c r="E262" s="5" t="s">
        <v>2498</v>
      </c>
      <c r="F262" s="5" t="s">
        <v>2499</v>
      </c>
      <c r="G262" s="5" t="s">
        <v>2491</v>
      </c>
      <c r="H262" s="5" t="s">
        <v>2485</v>
      </c>
      <c r="I262" s="5" t="s">
        <v>2500</v>
      </c>
      <c r="J262" s="5" t="s">
        <v>2501</v>
      </c>
      <c r="K262" s="5" t="s">
        <v>2493</v>
      </c>
      <c r="L262" s="5" t="s">
        <v>51</v>
      </c>
      <c r="M262" s="5" t="s">
        <v>79</v>
      </c>
      <c r="N262" s="5" t="s">
        <v>53</v>
      </c>
      <c r="O262" s="5" t="s">
        <v>67</v>
      </c>
      <c r="P262" s="5" t="n">
        <v>1</v>
      </c>
      <c r="Q262" s="5" t="s">
        <v>2502</v>
      </c>
      <c r="R262" s="5" t="s">
        <v>2503</v>
      </c>
      <c r="S262" s="5" t="s">
        <v>1844</v>
      </c>
      <c r="T262" s="5" t="s">
        <v>84</v>
      </c>
      <c r="U262" s="5" t="s">
        <v>58</v>
      </c>
      <c r="V262" s="5" t="s">
        <v>51</v>
      </c>
    </row>
    <row r="263" customFormat="false" ht="22.35" hidden="false" customHeight="false" outlineLevel="0" collapsed="false">
      <c r="A263" s="5" t="s">
        <v>2504</v>
      </c>
      <c r="B263" s="5" t="s">
        <v>2486</v>
      </c>
      <c r="C263" s="5" t="s">
        <v>2487</v>
      </c>
      <c r="D263" s="5" t="s">
        <v>2505</v>
      </c>
      <c r="E263" s="5" t="s">
        <v>2506</v>
      </c>
      <c r="F263" s="5" t="s">
        <v>2507</v>
      </c>
      <c r="G263" s="5" t="s">
        <v>2491</v>
      </c>
      <c r="H263" s="5" t="s">
        <v>2496</v>
      </c>
      <c r="I263" s="5" t="s">
        <v>196</v>
      </c>
      <c r="J263" s="5" t="s">
        <v>2508</v>
      </c>
      <c r="K263" s="5" t="s">
        <v>2509</v>
      </c>
      <c r="L263" s="5" t="s">
        <v>84</v>
      </c>
      <c r="M263" s="5" t="s">
        <v>79</v>
      </c>
      <c r="N263" s="5" t="s">
        <v>53</v>
      </c>
      <c r="O263" s="5" t="s">
        <v>105</v>
      </c>
      <c r="P263" s="5" t="n">
        <v>1</v>
      </c>
      <c r="Q263" s="5" t="s">
        <v>2510</v>
      </c>
      <c r="R263" s="5" t="s">
        <v>2511</v>
      </c>
      <c r="S263" s="5" t="s">
        <v>2512</v>
      </c>
      <c r="T263" s="5" t="s">
        <v>84</v>
      </c>
      <c r="U263" s="5" t="s">
        <v>774</v>
      </c>
      <c r="V263" s="5" t="s">
        <v>51</v>
      </c>
    </row>
    <row r="264" customFormat="false" ht="22.35" hidden="false" customHeight="false" outlineLevel="0" collapsed="false">
      <c r="A264" s="5" t="s">
        <v>2513</v>
      </c>
      <c r="B264" s="5" t="s">
        <v>2514</v>
      </c>
      <c r="C264" s="5" t="s">
        <v>2515</v>
      </c>
      <c r="D264" s="5" t="s">
        <v>2516</v>
      </c>
      <c r="E264" s="5" t="s">
        <v>2517</v>
      </c>
      <c r="F264" s="5" t="s">
        <v>2518</v>
      </c>
      <c r="G264" s="5" t="s">
        <v>1470</v>
      </c>
      <c r="H264" s="5" t="s">
        <v>564</v>
      </c>
      <c r="I264" s="5" t="s">
        <v>578</v>
      </c>
      <c r="J264" s="5" t="s">
        <v>2519</v>
      </c>
      <c r="K264" s="5" t="s">
        <v>2520</v>
      </c>
      <c r="L264" s="5" t="s">
        <v>51</v>
      </c>
      <c r="M264" s="5" t="s">
        <v>52</v>
      </c>
      <c r="N264" s="5" t="s">
        <v>164</v>
      </c>
      <c r="O264" s="5" t="s">
        <v>361</v>
      </c>
      <c r="P264" s="5" t="n">
        <v>2</v>
      </c>
      <c r="Q264" s="5" t="s">
        <v>2521</v>
      </c>
      <c r="R264" s="5" t="s">
        <v>2522</v>
      </c>
      <c r="S264" s="5" t="s">
        <v>2523</v>
      </c>
      <c r="T264" s="5" t="s">
        <v>180</v>
      </c>
      <c r="U264" s="5" t="s">
        <v>58</v>
      </c>
      <c r="V264" s="5" t="s">
        <v>84</v>
      </c>
    </row>
    <row r="265" customFormat="false" ht="22.35" hidden="false" customHeight="false" outlineLevel="0" collapsed="false">
      <c r="A265" s="5" t="s">
        <v>2524</v>
      </c>
      <c r="B265" s="5" t="s">
        <v>2514</v>
      </c>
      <c r="C265" s="5" t="s">
        <v>2515</v>
      </c>
      <c r="D265" s="5" t="s">
        <v>2525</v>
      </c>
      <c r="E265" s="5" t="s">
        <v>2526</v>
      </c>
      <c r="F265" s="5" t="s">
        <v>2527</v>
      </c>
      <c r="G265" s="5" t="s">
        <v>1470</v>
      </c>
      <c r="H265" s="5" t="s">
        <v>1334</v>
      </c>
      <c r="I265" s="5" t="s">
        <v>578</v>
      </c>
      <c r="J265" s="5" t="s">
        <v>2528</v>
      </c>
      <c r="K265" s="5" t="s">
        <v>2529</v>
      </c>
      <c r="L265" s="5" t="s">
        <v>51</v>
      </c>
      <c r="M265" s="5" t="s">
        <v>79</v>
      </c>
      <c r="N265" s="5" t="s">
        <v>53</v>
      </c>
      <c r="O265" s="5" t="s">
        <v>67</v>
      </c>
      <c r="P265" s="5" t="n">
        <v>1</v>
      </c>
      <c r="Q265" s="5" t="s">
        <v>2530</v>
      </c>
      <c r="R265" s="5" t="s">
        <v>2531</v>
      </c>
      <c r="S265" s="5" t="s">
        <v>2532</v>
      </c>
      <c r="T265" s="5" t="s">
        <v>84</v>
      </c>
      <c r="U265" s="5" t="s">
        <v>58</v>
      </c>
      <c r="V265" s="5" t="s">
        <v>51</v>
      </c>
    </row>
    <row r="266" customFormat="false" ht="22.35" hidden="false" customHeight="false" outlineLevel="0" collapsed="false">
      <c r="A266" s="5" t="s">
        <v>2533</v>
      </c>
      <c r="B266" s="5" t="s">
        <v>2514</v>
      </c>
      <c r="C266" s="5" t="s">
        <v>2515</v>
      </c>
      <c r="D266" s="5" t="s">
        <v>2534</v>
      </c>
      <c r="E266" s="5" t="s">
        <v>2535</v>
      </c>
      <c r="F266" s="5" t="s">
        <v>2536</v>
      </c>
      <c r="G266" s="5" t="s">
        <v>1470</v>
      </c>
      <c r="H266" s="5" t="s">
        <v>2537</v>
      </c>
      <c r="I266" s="5" t="s">
        <v>578</v>
      </c>
      <c r="J266" s="5" t="s">
        <v>2538</v>
      </c>
      <c r="K266" s="5" t="s">
        <v>2539</v>
      </c>
      <c r="L266" s="5" t="s">
        <v>51</v>
      </c>
      <c r="M266" s="5" t="s">
        <v>79</v>
      </c>
      <c r="N266" s="5" t="s">
        <v>53</v>
      </c>
      <c r="O266" s="5" t="s">
        <v>67</v>
      </c>
      <c r="P266" s="5" t="n">
        <v>1</v>
      </c>
      <c r="Q266" s="5" t="s">
        <v>2540</v>
      </c>
      <c r="R266" s="5" t="s">
        <v>2541</v>
      </c>
      <c r="S266" s="5" t="s">
        <v>2542</v>
      </c>
      <c r="T266" s="5" t="s">
        <v>84</v>
      </c>
      <c r="U266" s="5" t="s">
        <v>58</v>
      </c>
      <c r="V266" s="5" t="s">
        <v>84</v>
      </c>
    </row>
    <row r="267" customFormat="false" ht="22.35" hidden="false" customHeight="false" outlineLevel="0" collapsed="false">
      <c r="A267" s="5" t="s">
        <v>2543</v>
      </c>
      <c r="B267" s="5" t="s">
        <v>2514</v>
      </c>
      <c r="C267" s="5" t="s">
        <v>2515</v>
      </c>
      <c r="D267" s="5" t="s">
        <v>2544</v>
      </c>
      <c r="E267" s="5" t="s">
        <v>2545</v>
      </c>
      <c r="F267" s="5" t="s">
        <v>2546</v>
      </c>
      <c r="G267" s="5" t="s">
        <v>1470</v>
      </c>
      <c r="H267" s="5" t="s">
        <v>2513</v>
      </c>
      <c r="I267" s="5" t="s">
        <v>578</v>
      </c>
      <c r="J267" s="5" t="s">
        <v>2547</v>
      </c>
      <c r="K267" s="5" t="s">
        <v>2548</v>
      </c>
      <c r="L267" s="5" t="s">
        <v>51</v>
      </c>
      <c r="M267" s="5" t="s">
        <v>52</v>
      </c>
      <c r="N267" s="5" t="s">
        <v>53</v>
      </c>
      <c r="O267" s="5" t="s">
        <v>67</v>
      </c>
      <c r="P267" s="5" t="n">
        <v>1</v>
      </c>
      <c r="Q267" s="5" t="s">
        <v>2549</v>
      </c>
      <c r="R267" s="5" t="s">
        <v>2550</v>
      </c>
      <c r="S267" s="5" t="s">
        <v>2551</v>
      </c>
      <c r="T267" s="5" t="s">
        <v>84</v>
      </c>
      <c r="U267" s="5" t="s">
        <v>58</v>
      </c>
      <c r="V267" s="5" t="s">
        <v>84</v>
      </c>
    </row>
    <row r="268" customFormat="false" ht="32.8" hidden="false" customHeight="false" outlineLevel="0" collapsed="false">
      <c r="A268" s="5" t="s">
        <v>2043</v>
      </c>
      <c r="B268" s="5" t="s">
        <v>2552</v>
      </c>
      <c r="C268" s="5" t="s">
        <v>2553</v>
      </c>
      <c r="D268" s="5" t="s">
        <v>2554</v>
      </c>
      <c r="E268" s="5" t="s">
        <v>2555</v>
      </c>
      <c r="F268" s="5" t="s">
        <v>2556</v>
      </c>
      <c r="G268" s="5" t="s">
        <v>1470</v>
      </c>
      <c r="H268" s="5" t="s">
        <v>232</v>
      </c>
      <c r="I268" s="5" t="s">
        <v>196</v>
      </c>
      <c r="J268" s="5" t="s">
        <v>2557</v>
      </c>
      <c r="K268" s="5" t="s">
        <v>2558</v>
      </c>
      <c r="L268" s="5" t="s">
        <v>84</v>
      </c>
      <c r="M268" s="5" t="s">
        <v>79</v>
      </c>
      <c r="N268" s="5" t="s">
        <v>53</v>
      </c>
      <c r="O268" s="5" t="s">
        <v>67</v>
      </c>
      <c r="P268" s="5" t="n">
        <v>1</v>
      </c>
      <c r="Q268" s="5" t="s">
        <v>2559</v>
      </c>
      <c r="R268" s="5" t="s">
        <v>2560</v>
      </c>
      <c r="S268" s="5" t="s">
        <v>2561</v>
      </c>
      <c r="T268" s="5" t="s">
        <v>84</v>
      </c>
      <c r="U268" s="5" t="s">
        <v>58</v>
      </c>
      <c r="V268" s="5" t="s">
        <v>84</v>
      </c>
    </row>
    <row r="269" customFormat="false" ht="22.35" hidden="false" customHeight="false" outlineLevel="0" collapsed="false">
      <c r="A269" s="5" t="s">
        <v>2562</v>
      </c>
      <c r="B269" s="5" t="s">
        <v>2552</v>
      </c>
      <c r="C269" s="5" t="s">
        <v>2553</v>
      </c>
      <c r="D269" s="5" t="s">
        <v>2563</v>
      </c>
      <c r="E269" s="5" t="s">
        <v>2564</v>
      </c>
      <c r="F269" s="5" t="s">
        <v>2565</v>
      </c>
      <c r="G269" s="5" t="s">
        <v>1470</v>
      </c>
      <c r="H269" s="5" t="s">
        <v>2043</v>
      </c>
      <c r="I269" s="5" t="s">
        <v>1905</v>
      </c>
      <c r="J269" s="5" t="s">
        <v>2566</v>
      </c>
      <c r="K269" s="5" t="s">
        <v>2276</v>
      </c>
      <c r="L269" s="5" t="s">
        <v>84</v>
      </c>
      <c r="M269" s="5" t="s">
        <v>79</v>
      </c>
      <c r="N269" s="5" t="s">
        <v>53</v>
      </c>
      <c r="O269" s="5" t="s">
        <v>389</v>
      </c>
      <c r="P269" s="5" t="n">
        <v>1</v>
      </c>
      <c r="Q269" s="5" t="s">
        <v>2567</v>
      </c>
      <c r="R269" s="5" t="s">
        <v>2568</v>
      </c>
      <c r="S269" s="5" t="s">
        <v>2569</v>
      </c>
      <c r="T269" s="5" t="s">
        <v>84</v>
      </c>
      <c r="U269" s="5" t="s">
        <v>58</v>
      </c>
      <c r="V269" s="5" t="s">
        <v>84</v>
      </c>
    </row>
    <row r="270" customFormat="false" ht="22.35" hidden="false" customHeight="false" outlineLevel="0" collapsed="false">
      <c r="A270" s="5" t="s">
        <v>2570</v>
      </c>
      <c r="B270" s="5" t="s">
        <v>2552</v>
      </c>
      <c r="C270" s="5" t="s">
        <v>2553</v>
      </c>
      <c r="D270" s="5" t="s">
        <v>2571</v>
      </c>
      <c r="E270" s="5" t="s">
        <v>2572</v>
      </c>
      <c r="F270" s="5" t="s">
        <v>2573</v>
      </c>
      <c r="G270" s="5" t="s">
        <v>1470</v>
      </c>
      <c r="H270" s="5" t="s">
        <v>2043</v>
      </c>
      <c r="I270" s="5" t="s">
        <v>196</v>
      </c>
      <c r="J270" s="5" t="s">
        <v>2574</v>
      </c>
      <c r="K270" s="5" t="s">
        <v>1755</v>
      </c>
      <c r="L270" s="5" t="s">
        <v>51</v>
      </c>
      <c r="M270" s="5" t="s">
        <v>79</v>
      </c>
      <c r="N270" s="5" t="s">
        <v>53</v>
      </c>
      <c r="O270" s="5" t="s">
        <v>105</v>
      </c>
      <c r="P270" s="5" t="n">
        <v>1</v>
      </c>
      <c r="Q270" s="5" t="s">
        <v>2575</v>
      </c>
      <c r="R270" s="5" t="s">
        <v>2576</v>
      </c>
      <c r="S270" s="5" t="s">
        <v>2577</v>
      </c>
      <c r="T270" s="5" t="s">
        <v>84</v>
      </c>
      <c r="U270" s="5" t="s">
        <v>58</v>
      </c>
      <c r="V270" s="5" t="s">
        <v>84</v>
      </c>
    </row>
    <row r="271" customFormat="false" ht="32.8" hidden="false" customHeight="false" outlineLevel="0" collapsed="false">
      <c r="A271" s="5" t="s">
        <v>1710</v>
      </c>
      <c r="B271" s="5" t="s">
        <v>2578</v>
      </c>
      <c r="C271" s="5" t="s">
        <v>2579</v>
      </c>
      <c r="D271" s="5" t="s">
        <v>2580</v>
      </c>
      <c r="E271" s="5" t="s">
        <v>2581</v>
      </c>
      <c r="F271" s="5" t="s">
        <v>2582</v>
      </c>
      <c r="G271" s="5" t="s">
        <v>1470</v>
      </c>
      <c r="H271" s="5" t="s">
        <v>2043</v>
      </c>
      <c r="I271" s="5" t="s">
        <v>578</v>
      </c>
      <c r="J271" s="5" t="s">
        <v>2583</v>
      </c>
      <c r="K271" s="5" t="s">
        <v>2584</v>
      </c>
      <c r="L271" s="5" t="s">
        <v>51</v>
      </c>
      <c r="M271" s="5" t="s">
        <v>79</v>
      </c>
      <c r="N271" s="5" t="s">
        <v>53</v>
      </c>
      <c r="O271" s="5" t="s">
        <v>67</v>
      </c>
      <c r="P271" s="5" t="n">
        <v>1</v>
      </c>
      <c r="Q271" s="5" t="s">
        <v>2585</v>
      </c>
      <c r="R271" s="5" t="s">
        <v>2586</v>
      </c>
      <c r="S271" s="5" t="s">
        <v>1688</v>
      </c>
      <c r="T271" s="5" t="s">
        <v>84</v>
      </c>
      <c r="U271" s="5" t="s">
        <v>58</v>
      </c>
      <c r="V271" s="5" t="s">
        <v>51</v>
      </c>
    </row>
    <row r="272" customFormat="false" ht="22.35" hidden="false" customHeight="false" outlineLevel="0" collapsed="false">
      <c r="A272" s="5" t="s">
        <v>2587</v>
      </c>
      <c r="B272" s="5" t="s">
        <v>2578</v>
      </c>
      <c r="C272" s="5" t="s">
        <v>2579</v>
      </c>
      <c r="D272" s="5" t="s">
        <v>2588</v>
      </c>
      <c r="E272" s="5" t="s">
        <v>2589</v>
      </c>
      <c r="F272" s="5" t="s">
        <v>2590</v>
      </c>
      <c r="G272" s="5" t="s">
        <v>1470</v>
      </c>
      <c r="H272" s="5" t="s">
        <v>2591</v>
      </c>
      <c r="I272" s="5" t="s">
        <v>578</v>
      </c>
      <c r="J272" s="5" t="s">
        <v>2592</v>
      </c>
      <c r="K272" s="5" t="s">
        <v>2593</v>
      </c>
      <c r="L272" s="5" t="s">
        <v>84</v>
      </c>
      <c r="M272" s="5" t="s">
        <v>79</v>
      </c>
      <c r="N272" s="5" t="s">
        <v>53</v>
      </c>
      <c r="O272" s="5" t="s">
        <v>389</v>
      </c>
      <c r="P272" s="5" t="n">
        <v>1</v>
      </c>
      <c r="Q272" s="5" t="s">
        <v>2594</v>
      </c>
      <c r="R272" s="5" t="s">
        <v>2595</v>
      </c>
      <c r="S272" s="5" t="s">
        <v>2542</v>
      </c>
      <c r="T272" s="5" t="s">
        <v>84</v>
      </c>
      <c r="U272" s="5" t="s">
        <v>58</v>
      </c>
      <c r="V272" s="5" t="s">
        <v>51</v>
      </c>
    </row>
    <row r="273" customFormat="false" ht="22.35" hidden="false" customHeight="false" outlineLevel="0" collapsed="false">
      <c r="A273" s="5" t="s">
        <v>2596</v>
      </c>
      <c r="B273" s="5" t="s">
        <v>2578</v>
      </c>
      <c r="C273" s="5" t="s">
        <v>2579</v>
      </c>
      <c r="D273" s="5" t="s">
        <v>2597</v>
      </c>
      <c r="E273" s="5" t="s">
        <v>2598</v>
      </c>
      <c r="F273" s="5" t="s">
        <v>2599</v>
      </c>
      <c r="G273" s="5" t="s">
        <v>1470</v>
      </c>
      <c r="H273" s="5" t="s">
        <v>2587</v>
      </c>
      <c r="I273" s="5" t="s">
        <v>578</v>
      </c>
      <c r="J273" s="5" t="s">
        <v>2600</v>
      </c>
      <c r="K273" s="5" t="s">
        <v>2601</v>
      </c>
      <c r="L273" s="5" t="s">
        <v>51</v>
      </c>
      <c r="M273" s="5" t="s">
        <v>79</v>
      </c>
      <c r="N273" s="5" t="s">
        <v>53</v>
      </c>
      <c r="O273" s="5" t="s">
        <v>389</v>
      </c>
      <c r="P273" s="5" t="n">
        <v>1</v>
      </c>
      <c r="Q273" s="5" t="s">
        <v>2602</v>
      </c>
      <c r="R273" s="5" t="s">
        <v>2603</v>
      </c>
      <c r="S273" s="5" t="s">
        <v>2604</v>
      </c>
      <c r="T273" s="5" t="s">
        <v>84</v>
      </c>
      <c r="U273" s="5" t="s">
        <v>58</v>
      </c>
      <c r="V273" s="5" t="s">
        <v>84</v>
      </c>
    </row>
    <row r="274" customFormat="false" ht="22.35" hidden="false" customHeight="false" outlineLevel="0" collapsed="false">
      <c r="A274" s="5" t="s">
        <v>2202</v>
      </c>
      <c r="B274" s="5" t="s">
        <v>2605</v>
      </c>
      <c r="C274" s="5" t="s">
        <v>2606</v>
      </c>
      <c r="D274" s="5" t="s">
        <v>2607</v>
      </c>
      <c r="E274" s="5" t="s">
        <v>2608</v>
      </c>
      <c r="F274" s="5" t="s">
        <v>2609</v>
      </c>
      <c r="G274" s="5" t="s">
        <v>1113</v>
      </c>
      <c r="H274" s="5" t="s">
        <v>698</v>
      </c>
      <c r="I274" s="5" t="s">
        <v>578</v>
      </c>
      <c r="J274" s="5" t="s">
        <v>2610</v>
      </c>
      <c r="K274" s="5" t="s">
        <v>2611</v>
      </c>
      <c r="L274" s="5" t="s">
        <v>84</v>
      </c>
      <c r="M274" s="5" t="s">
        <v>79</v>
      </c>
      <c r="N274" s="5" t="s">
        <v>53</v>
      </c>
      <c r="O274" s="5" t="s">
        <v>67</v>
      </c>
      <c r="P274" s="5" t="n">
        <v>1</v>
      </c>
      <c r="Q274" s="5" t="s">
        <v>2612</v>
      </c>
      <c r="R274" s="5" t="s">
        <v>2613</v>
      </c>
      <c r="S274" s="5" t="s">
        <v>2614</v>
      </c>
      <c r="T274" s="5" t="s">
        <v>84</v>
      </c>
      <c r="U274" s="5" t="s">
        <v>58</v>
      </c>
      <c r="V274" s="5" t="s">
        <v>51</v>
      </c>
    </row>
    <row r="275" customFormat="false" ht="22.35" hidden="false" customHeight="false" outlineLevel="0" collapsed="false">
      <c r="A275" s="5" t="s">
        <v>2615</v>
      </c>
      <c r="B275" s="5" t="s">
        <v>2605</v>
      </c>
      <c r="C275" s="5" t="s">
        <v>2606</v>
      </c>
      <c r="D275" s="5" t="s">
        <v>2616</v>
      </c>
      <c r="E275" s="5" t="s">
        <v>2617</v>
      </c>
      <c r="F275" s="5" t="s">
        <v>2618</v>
      </c>
      <c r="G275" s="5" t="s">
        <v>1470</v>
      </c>
      <c r="H275" s="5" t="s">
        <v>2202</v>
      </c>
      <c r="I275" s="5" t="s">
        <v>1905</v>
      </c>
      <c r="J275" s="5" t="s">
        <v>2619</v>
      </c>
      <c r="K275" s="5" t="s">
        <v>2620</v>
      </c>
      <c r="L275" s="5" t="s">
        <v>84</v>
      </c>
      <c r="M275" s="5" t="s">
        <v>79</v>
      </c>
      <c r="N275" s="5" t="s">
        <v>53</v>
      </c>
      <c r="O275" s="5" t="s">
        <v>389</v>
      </c>
      <c r="P275" s="5" t="n">
        <v>1</v>
      </c>
      <c r="Q275" s="5" t="s">
        <v>2621</v>
      </c>
      <c r="R275" s="5" t="s">
        <v>2622</v>
      </c>
      <c r="S275" s="5" t="s">
        <v>2623</v>
      </c>
      <c r="T275" s="5" t="s">
        <v>84</v>
      </c>
      <c r="U275" s="5" t="s">
        <v>58</v>
      </c>
      <c r="V275" s="5" t="s">
        <v>84</v>
      </c>
    </row>
    <row r="276" customFormat="false" ht="22.35" hidden="false" customHeight="false" outlineLevel="0" collapsed="false">
      <c r="A276" s="5" t="s">
        <v>2624</v>
      </c>
      <c r="B276" s="5" t="s">
        <v>2605</v>
      </c>
      <c r="C276" s="5" t="s">
        <v>2606</v>
      </c>
      <c r="D276" s="5" t="s">
        <v>2625</v>
      </c>
      <c r="E276" s="5" t="s">
        <v>2626</v>
      </c>
      <c r="F276" s="5" t="s">
        <v>2627</v>
      </c>
      <c r="G276" s="5" t="s">
        <v>1470</v>
      </c>
      <c r="H276" s="5" t="s">
        <v>2202</v>
      </c>
      <c r="I276" s="5" t="s">
        <v>578</v>
      </c>
      <c r="J276" s="5" t="s">
        <v>2628</v>
      </c>
      <c r="K276" s="5" t="s">
        <v>2629</v>
      </c>
      <c r="L276" s="5" t="s">
        <v>51</v>
      </c>
      <c r="M276" s="5" t="s">
        <v>408</v>
      </c>
      <c r="N276" s="5" t="s">
        <v>781</v>
      </c>
      <c r="O276" s="5" t="s">
        <v>771</v>
      </c>
      <c r="P276" s="5" t="n">
        <v>8</v>
      </c>
      <c r="Q276" s="5" t="s">
        <v>1400</v>
      </c>
      <c r="R276" s="5" t="s">
        <v>2630</v>
      </c>
      <c r="S276" s="5" t="s">
        <v>1373</v>
      </c>
      <c r="T276" s="5" t="s">
        <v>180</v>
      </c>
      <c r="U276" s="5" t="s">
        <v>774</v>
      </c>
      <c r="V276" s="5" t="s">
        <v>84</v>
      </c>
    </row>
    <row r="277" customFormat="false" ht="22.35" hidden="false" customHeight="false" outlineLevel="0" collapsed="false">
      <c r="A277" s="5" t="s">
        <v>2631</v>
      </c>
      <c r="B277" s="5" t="s">
        <v>2632</v>
      </c>
      <c r="C277" s="5" t="s">
        <v>2633</v>
      </c>
      <c r="D277" s="5" t="s">
        <v>2634</v>
      </c>
      <c r="E277" s="5" t="s">
        <v>2635</v>
      </c>
      <c r="F277" s="5" t="s">
        <v>2636</v>
      </c>
      <c r="G277" s="5" t="s">
        <v>1470</v>
      </c>
      <c r="H277" s="5" t="s">
        <v>2587</v>
      </c>
      <c r="I277" s="5" t="s">
        <v>578</v>
      </c>
      <c r="J277" s="5" t="s">
        <v>2637</v>
      </c>
      <c r="K277" s="5" t="s">
        <v>2638</v>
      </c>
      <c r="L277" s="5" t="s">
        <v>51</v>
      </c>
      <c r="M277" s="5" t="s">
        <v>79</v>
      </c>
      <c r="N277" s="5" t="s">
        <v>53</v>
      </c>
      <c r="O277" s="5" t="s">
        <v>389</v>
      </c>
      <c r="P277" s="5" t="n">
        <v>1</v>
      </c>
      <c r="Q277" s="5" t="s">
        <v>2639</v>
      </c>
      <c r="R277" s="5" t="s">
        <v>2640</v>
      </c>
      <c r="S277" s="5" t="s">
        <v>2641</v>
      </c>
      <c r="T277" s="5" t="s">
        <v>84</v>
      </c>
      <c r="U277" s="5" t="s">
        <v>58</v>
      </c>
      <c r="V277" s="5" t="s">
        <v>84</v>
      </c>
    </row>
    <row r="278" customFormat="false" ht="22.35" hidden="false" customHeight="false" outlineLevel="0" collapsed="false">
      <c r="A278" s="5" t="s">
        <v>1981</v>
      </c>
      <c r="B278" s="5" t="s">
        <v>2632</v>
      </c>
      <c r="C278" s="5" t="s">
        <v>2633</v>
      </c>
      <c r="D278" s="5" t="s">
        <v>2642</v>
      </c>
      <c r="E278" s="5" t="s">
        <v>2643</v>
      </c>
      <c r="F278" s="5" t="s">
        <v>2644</v>
      </c>
      <c r="G278" s="5" t="s">
        <v>1470</v>
      </c>
      <c r="H278" s="5" t="s">
        <v>2631</v>
      </c>
      <c r="I278" s="5" t="s">
        <v>578</v>
      </c>
      <c r="J278" s="5" t="s">
        <v>2645</v>
      </c>
      <c r="K278" s="5" t="s">
        <v>2646</v>
      </c>
      <c r="L278" s="5" t="s">
        <v>51</v>
      </c>
      <c r="M278" s="5" t="s">
        <v>79</v>
      </c>
      <c r="N278" s="5" t="s">
        <v>53</v>
      </c>
      <c r="O278" s="5" t="s">
        <v>389</v>
      </c>
      <c r="P278" s="5" t="n">
        <v>1</v>
      </c>
      <c r="Q278" s="5" t="s">
        <v>2647</v>
      </c>
      <c r="R278" s="5" t="s">
        <v>2648</v>
      </c>
      <c r="S278" s="5" t="s">
        <v>2649</v>
      </c>
      <c r="T278" s="5" t="s">
        <v>84</v>
      </c>
      <c r="U278" s="5" t="s">
        <v>58</v>
      </c>
      <c r="V278" s="5" t="s">
        <v>51</v>
      </c>
    </row>
    <row r="279" customFormat="false" ht="22.35" hidden="false" customHeight="false" outlineLevel="0" collapsed="false">
      <c r="A279" s="5" t="s">
        <v>2650</v>
      </c>
      <c r="B279" s="5" t="s">
        <v>2632</v>
      </c>
      <c r="C279" s="5" t="s">
        <v>2633</v>
      </c>
      <c r="D279" s="5" t="s">
        <v>2651</v>
      </c>
      <c r="E279" s="5" t="s">
        <v>2652</v>
      </c>
      <c r="F279" s="5" t="s">
        <v>2653</v>
      </c>
      <c r="G279" s="5" t="s">
        <v>1470</v>
      </c>
      <c r="H279" s="5" t="s">
        <v>1981</v>
      </c>
      <c r="I279" s="5" t="s">
        <v>1664</v>
      </c>
      <c r="J279" s="5" t="s">
        <v>2654</v>
      </c>
      <c r="K279" s="5" t="s">
        <v>1558</v>
      </c>
      <c r="L279" s="5" t="s">
        <v>51</v>
      </c>
      <c r="M279" s="5" t="s">
        <v>79</v>
      </c>
      <c r="N279" s="5" t="s">
        <v>53</v>
      </c>
      <c r="O279" s="5" t="s">
        <v>2655</v>
      </c>
      <c r="P279" s="5" t="n">
        <v>1</v>
      </c>
      <c r="Q279" s="5" t="s">
        <v>2656</v>
      </c>
      <c r="R279" s="5" t="s">
        <v>2657</v>
      </c>
      <c r="S279" s="5" t="s">
        <v>2658</v>
      </c>
      <c r="T279" s="5" t="s">
        <v>84</v>
      </c>
      <c r="U279" s="5" t="s">
        <v>58</v>
      </c>
      <c r="V279" s="5" t="s">
        <v>51</v>
      </c>
    </row>
    <row r="280" customFormat="false" ht="22.35" hidden="false" customHeight="false" outlineLevel="0" collapsed="false">
      <c r="A280" s="5" t="s">
        <v>2290</v>
      </c>
      <c r="B280" s="5" t="s">
        <v>2659</v>
      </c>
      <c r="C280" s="5" t="s">
        <v>2660</v>
      </c>
      <c r="D280" s="5" t="s">
        <v>2661</v>
      </c>
      <c r="E280" s="5" t="s">
        <v>2662</v>
      </c>
      <c r="F280" s="5" t="s">
        <v>2663</v>
      </c>
      <c r="G280" s="5" t="s">
        <v>1470</v>
      </c>
      <c r="H280" s="5" t="s">
        <v>2524</v>
      </c>
      <c r="I280" s="5" t="s">
        <v>578</v>
      </c>
      <c r="J280" s="5" t="s">
        <v>2260</v>
      </c>
      <c r="K280" s="5" t="s">
        <v>2139</v>
      </c>
      <c r="L280" s="5" t="s">
        <v>51</v>
      </c>
      <c r="M280" s="5" t="s">
        <v>79</v>
      </c>
      <c r="N280" s="5" t="s">
        <v>53</v>
      </c>
      <c r="O280" s="5" t="s">
        <v>389</v>
      </c>
      <c r="P280" s="5" t="n">
        <v>1</v>
      </c>
      <c r="Q280" s="5" t="s">
        <v>2664</v>
      </c>
      <c r="R280" s="5" t="s">
        <v>2665</v>
      </c>
      <c r="S280" s="5" t="s">
        <v>2666</v>
      </c>
      <c r="T280" s="5" t="s">
        <v>84</v>
      </c>
      <c r="U280" s="5" t="s">
        <v>58</v>
      </c>
      <c r="V280" s="5" t="s">
        <v>51</v>
      </c>
    </row>
    <row r="281" customFormat="false" ht="22.35" hidden="false" customHeight="false" outlineLevel="0" collapsed="false">
      <c r="A281" s="5" t="s">
        <v>2667</v>
      </c>
      <c r="B281" s="5" t="s">
        <v>2659</v>
      </c>
      <c r="C281" s="5" t="s">
        <v>2660</v>
      </c>
      <c r="D281" s="5" t="s">
        <v>2668</v>
      </c>
      <c r="E281" s="5" t="s">
        <v>2669</v>
      </c>
      <c r="F281" s="5" t="s">
        <v>2670</v>
      </c>
      <c r="G281" s="5" t="s">
        <v>1470</v>
      </c>
      <c r="H281" s="5" t="s">
        <v>1392</v>
      </c>
      <c r="I281" s="5" t="s">
        <v>578</v>
      </c>
      <c r="J281" s="5" t="s">
        <v>2671</v>
      </c>
      <c r="K281" s="5" t="s">
        <v>2672</v>
      </c>
      <c r="L281" s="5" t="s">
        <v>51</v>
      </c>
      <c r="M281" s="5" t="s">
        <v>408</v>
      </c>
      <c r="N281" s="5" t="s">
        <v>53</v>
      </c>
      <c r="O281" s="5" t="s">
        <v>389</v>
      </c>
      <c r="P281" s="5" t="n">
        <v>1</v>
      </c>
      <c r="Q281" s="5" t="s">
        <v>2673</v>
      </c>
      <c r="R281" s="5" t="s">
        <v>2674</v>
      </c>
      <c r="S281" s="5" t="s">
        <v>2675</v>
      </c>
      <c r="T281" s="5" t="s">
        <v>180</v>
      </c>
      <c r="U281" s="5" t="s">
        <v>58</v>
      </c>
      <c r="V281" s="5" t="s">
        <v>84</v>
      </c>
    </row>
    <row r="282" customFormat="false" ht="22.35" hidden="false" customHeight="false" outlineLevel="0" collapsed="false">
      <c r="A282" s="5" t="s">
        <v>2676</v>
      </c>
      <c r="B282" s="5" t="s">
        <v>2659</v>
      </c>
      <c r="C282" s="5" t="s">
        <v>2660</v>
      </c>
      <c r="D282" s="5" t="s">
        <v>2677</v>
      </c>
      <c r="E282" s="5" t="s">
        <v>2678</v>
      </c>
      <c r="F282" s="5" t="s">
        <v>2679</v>
      </c>
      <c r="G282" s="5" t="s">
        <v>1470</v>
      </c>
      <c r="H282" s="5" t="s">
        <v>2533</v>
      </c>
      <c r="I282" s="5" t="s">
        <v>578</v>
      </c>
      <c r="J282" s="5" t="s">
        <v>2680</v>
      </c>
      <c r="K282" s="5" t="s">
        <v>2681</v>
      </c>
      <c r="L282" s="5" t="s">
        <v>51</v>
      </c>
      <c r="M282" s="5" t="s">
        <v>52</v>
      </c>
      <c r="N282" s="5" t="s">
        <v>53</v>
      </c>
      <c r="O282" s="5" t="s">
        <v>2682</v>
      </c>
      <c r="P282" s="5" t="n">
        <v>1</v>
      </c>
      <c r="Q282" s="5" t="s">
        <v>2683</v>
      </c>
      <c r="R282" s="5" t="s">
        <v>2684</v>
      </c>
      <c r="S282" s="5" t="s">
        <v>2685</v>
      </c>
      <c r="T282" s="5" t="s">
        <v>180</v>
      </c>
      <c r="U282" s="5" t="s">
        <v>58</v>
      </c>
      <c r="V282" s="5" t="s">
        <v>84</v>
      </c>
    </row>
    <row r="283" customFormat="false" ht="22.35" hidden="false" customHeight="false" outlineLevel="0" collapsed="false">
      <c r="A283" s="5" t="s">
        <v>2686</v>
      </c>
      <c r="B283" s="5" t="s">
        <v>2659</v>
      </c>
      <c r="C283" s="5" t="s">
        <v>2660</v>
      </c>
      <c r="D283" s="5" t="s">
        <v>2687</v>
      </c>
      <c r="E283" s="5" t="s">
        <v>2688</v>
      </c>
      <c r="F283" s="5" t="s">
        <v>2689</v>
      </c>
      <c r="G283" s="5" t="s">
        <v>1470</v>
      </c>
      <c r="H283" s="5" t="s">
        <v>2533</v>
      </c>
      <c r="I283" s="5" t="s">
        <v>578</v>
      </c>
      <c r="J283" s="5" t="s">
        <v>2687</v>
      </c>
      <c r="K283" s="5" t="s">
        <v>2690</v>
      </c>
      <c r="L283" s="5" t="s">
        <v>51</v>
      </c>
      <c r="M283" s="5" t="s">
        <v>66</v>
      </c>
      <c r="N283" s="5" t="s">
        <v>53</v>
      </c>
      <c r="O283" s="5" t="s">
        <v>67</v>
      </c>
      <c r="P283" s="5" t="n">
        <v>1</v>
      </c>
      <c r="Q283" s="5" t="s">
        <v>2691</v>
      </c>
      <c r="R283" s="5" t="s">
        <v>2692</v>
      </c>
      <c r="S283" s="5" t="s">
        <v>2693</v>
      </c>
      <c r="T283" s="5" t="s">
        <v>180</v>
      </c>
      <c r="U283" s="5" t="s">
        <v>58</v>
      </c>
      <c r="V283" s="5" t="s">
        <v>84</v>
      </c>
    </row>
    <row r="284" customFormat="false" ht="22.35" hidden="false" customHeight="false" outlineLevel="0" collapsed="false">
      <c r="A284" s="5" t="s">
        <v>2694</v>
      </c>
      <c r="B284" s="5" t="s">
        <v>2695</v>
      </c>
      <c r="C284" s="5" t="s">
        <v>1470</v>
      </c>
      <c r="D284" s="5" t="s">
        <v>2696</v>
      </c>
      <c r="E284" s="5" t="s">
        <v>2697</v>
      </c>
      <c r="F284" s="5" t="s">
        <v>2698</v>
      </c>
      <c r="G284" s="5" t="s">
        <v>1470</v>
      </c>
      <c r="H284" s="5" t="s">
        <v>2699</v>
      </c>
      <c r="I284" s="5" t="s">
        <v>2700</v>
      </c>
      <c r="J284" s="5" t="s">
        <v>2301</v>
      </c>
      <c r="K284" s="5" t="s">
        <v>2361</v>
      </c>
      <c r="L284" s="5" t="s">
        <v>51</v>
      </c>
      <c r="M284" s="5" t="s">
        <v>79</v>
      </c>
      <c r="N284" s="5" t="s">
        <v>53</v>
      </c>
      <c r="O284" s="5" t="s">
        <v>238</v>
      </c>
      <c r="P284" s="5" t="n">
        <v>2</v>
      </c>
      <c r="Q284" s="5" t="s">
        <v>2701</v>
      </c>
      <c r="R284" s="5" t="s">
        <v>2702</v>
      </c>
      <c r="S284" s="5" t="s">
        <v>2703</v>
      </c>
      <c r="T284" s="5" t="s">
        <v>84</v>
      </c>
      <c r="U284" s="5" t="s">
        <v>58</v>
      </c>
      <c r="V284" s="5" t="s">
        <v>51</v>
      </c>
    </row>
    <row r="285" customFormat="false" ht="22.35" hidden="false" customHeight="false" outlineLevel="0" collapsed="false">
      <c r="A285" s="5" t="s">
        <v>2704</v>
      </c>
      <c r="B285" s="5" t="s">
        <v>2695</v>
      </c>
      <c r="C285" s="5" t="s">
        <v>1470</v>
      </c>
      <c r="D285" s="5" t="s">
        <v>2705</v>
      </c>
      <c r="E285" s="5" t="s">
        <v>2706</v>
      </c>
      <c r="F285" s="5" t="s">
        <v>2707</v>
      </c>
      <c r="G285" s="5" t="s">
        <v>1470</v>
      </c>
      <c r="H285" s="5" t="s">
        <v>2694</v>
      </c>
      <c r="I285" s="5" t="s">
        <v>196</v>
      </c>
      <c r="J285" s="5" t="s">
        <v>2708</v>
      </c>
      <c r="K285" s="5" t="s">
        <v>1102</v>
      </c>
      <c r="L285" s="5" t="s">
        <v>84</v>
      </c>
      <c r="M285" s="5" t="s">
        <v>79</v>
      </c>
      <c r="N285" s="5" t="s">
        <v>53</v>
      </c>
      <c r="O285" s="5" t="s">
        <v>105</v>
      </c>
      <c r="P285" s="5" t="n">
        <v>1</v>
      </c>
      <c r="Q285" s="5" t="s">
        <v>2709</v>
      </c>
      <c r="R285" s="5" t="s">
        <v>2710</v>
      </c>
      <c r="S285" s="5" t="s">
        <v>401</v>
      </c>
      <c r="T285" s="5" t="s">
        <v>84</v>
      </c>
      <c r="U285" s="5" t="s">
        <v>58</v>
      </c>
      <c r="V285" s="5" t="s">
        <v>51</v>
      </c>
    </row>
    <row r="286" customFormat="false" ht="22.35" hidden="false" customHeight="false" outlineLevel="0" collapsed="false">
      <c r="A286" s="5" t="s">
        <v>2222</v>
      </c>
      <c r="B286" s="5" t="s">
        <v>2695</v>
      </c>
      <c r="C286" s="5" t="s">
        <v>1470</v>
      </c>
      <c r="D286" s="5" t="s">
        <v>2711</v>
      </c>
      <c r="E286" s="5" t="s">
        <v>2712</v>
      </c>
      <c r="F286" s="5" t="s">
        <v>1470</v>
      </c>
      <c r="G286" s="5" t="s">
        <v>1470</v>
      </c>
      <c r="H286" s="5" t="s">
        <v>2713</v>
      </c>
      <c r="I286" s="5" t="s">
        <v>578</v>
      </c>
      <c r="J286" s="5" t="s">
        <v>2714</v>
      </c>
      <c r="K286" s="5" t="s">
        <v>2715</v>
      </c>
      <c r="L286" s="5" t="s">
        <v>51</v>
      </c>
      <c r="M286" s="5" t="s">
        <v>79</v>
      </c>
      <c r="N286" s="5" t="s">
        <v>53</v>
      </c>
      <c r="O286" s="5" t="s">
        <v>238</v>
      </c>
      <c r="P286" s="5" t="n">
        <v>2</v>
      </c>
      <c r="Q286" s="5" t="s">
        <v>2716</v>
      </c>
      <c r="R286" s="5" t="s">
        <v>2717</v>
      </c>
      <c r="S286" s="5" t="s">
        <v>2718</v>
      </c>
      <c r="T286" s="5" t="s">
        <v>84</v>
      </c>
      <c r="U286" s="5" t="s">
        <v>58</v>
      </c>
      <c r="V286" s="5" t="s">
        <v>51</v>
      </c>
    </row>
    <row r="287" customFormat="false" ht="22.35" hidden="false" customHeight="false" outlineLevel="0" collapsed="false">
      <c r="A287" s="5" t="s">
        <v>2719</v>
      </c>
      <c r="B287" s="5" t="s">
        <v>2695</v>
      </c>
      <c r="C287" s="5" t="s">
        <v>1470</v>
      </c>
      <c r="D287" s="5" t="s">
        <v>2720</v>
      </c>
      <c r="E287" s="5" t="s">
        <v>2721</v>
      </c>
      <c r="F287" s="5" t="s">
        <v>2722</v>
      </c>
      <c r="G287" s="5" t="s">
        <v>1470</v>
      </c>
      <c r="H287" s="5" t="s">
        <v>2222</v>
      </c>
      <c r="I287" s="5" t="s">
        <v>578</v>
      </c>
      <c r="J287" s="5" t="s">
        <v>2723</v>
      </c>
      <c r="K287" s="5" t="s">
        <v>2654</v>
      </c>
      <c r="L287" s="5" t="s">
        <v>51</v>
      </c>
      <c r="M287" s="5" t="s">
        <v>79</v>
      </c>
      <c r="N287" s="5" t="s">
        <v>53</v>
      </c>
      <c r="O287" s="5" t="s">
        <v>2655</v>
      </c>
      <c r="P287" s="5" t="n">
        <v>1</v>
      </c>
      <c r="Q287" s="5" t="s">
        <v>2724</v>
      </c>
      <c r="R287" s="5" t="s">
        <v>2725</v>
      </c>
      <c r="S287" s="5" t="s">
        <v>2726</v>
      </c>
      <c r="T287" s="5" t="s">
        <v>84</v>
      </c>
      <c r="U287" s="5" t="s">
        <v>58</v>
      </c>
      <c r="V287" s="5" t="s">
        <v>51</v>
      </c>
    </row>
    <row r="288" customFormat="false" ht="22.35" hidden="false" customHeight="false" outlineLevel="0" collapsed="false">
      <c r="A288" s="5" t="s">
        <v>2727</v>
      </c>
      <c r="B288" s="5" t="s">
        <v>2695</v>
      </c>
      <c r="C288" s="5" t="s">
        <v>1470</v>
      </c>
      <c r="D288" s="5" t="s">
        <v>2728</v>
      </c>
      <c r="E288" s="5" t="s">
        <v>2729</v>
      </c>
      <c r="F288" s="5" t="s">
        <v>2730</v>
      </c>
      <c r="G288" s="5" t="s">
        <v>1470</v>
      </c>
      <c r="H288" s="5" t="s">
        <v>2222</v>
      </c>
      <c r="I288" s="5" t="s">
        <v>693</v>
      </c>
      <c r="J288" s="5" t="s">
        <v>2731</v>
      </c>
      <c r="K288" s="5" t="s">
        <v>770</v>
      </c>
      <c r="L288" s="5" t="s">
        <v>663</v>
      </c>
      <c r="M288" s="5" t="s">
        <v>66</v>
      </c>
      <c r="N288" s="5" t="s">
        <v>53</v>
      </c>
      <c r="O288" s="5" t="s">
        <v>67</v>
      </c>
      <c r="P288" s="5" t="n">
        <v>1</v>
      </c>
      <c r="Q288" s="5" t="s">
        <v>2732</v>
      </c>
      <c r="R288" s="5" t="s">
        <v>2733</v>
      </c>
      <c r="S288" s="5" t="s">
        <v>492</v>
      </c>
      <c r="T288" s="5" t="s">
        <v>51</v>
      </c>
      <c r="U288" s="5" t="s">
        <v>774</v>
      </c>
      <c r="V288" s="5" t="s">
        <v>51</v>
      </c>
    </row>
    <row r="289" customFormat="false" ht="22.35" hidden="false" customHeight="false" outlineLevel="0" collapsed="false">
      <c r="A289" s="5" t="s">
        <v>2734</v>
      </c>
      <c r="B289" s="5" t="s">
        <v>2735</v>
      </c>
      <c r="C289" s="5" t="s">
        <v>2736</v>
      </c>
      <c r="D289" s="5" t="s">
        <v>2737</v>
      </c>
      <c r="E289" s="5" t="s">
        <v>2738</v>
      </c>
      <c r="F289" s="5" t="s">
        <v>2739</v>
      </c>
      <c r="G289" s="5" t="s">
        <v>1470</v>
      </c>
      <c r="H289" s="5" t="s">
        <v>2222</v>
      </c>
      <c r="I289" s="5" t="s">
        <v>1664</v>
      </c>
      <c r="J289" s="5" t="s">
        <v>2740</v>
      </c>
      <c r="K289" s="5" t="s">
        <v>2741</v>
      </c>
      <c r="L289" s="5" t="s">
        <v>51</v>
      </c>
      <c r="M289" s="5" t="s">
        <v>79</v>
      </c>
      <c r="N289" s="5" t="s">
        <v>53</v>
      </c>
      <c r="O289" s="5" t="s">
        <v>67</v>
      </c>
      <c r="P289" s="5" t="n">
        <v>1</v>
      </c>
      <c r="Q289" s="5" t="s">
        <v>2742</v>
      </c>
      <c r="R289" s="5" t="s">
        <v>2743</v>
      </c>
      <c r="S289" s="5" t="s">
        <v>2744</v>
      </c>
      <c r="T289" s="5" t="s">
        <v>84</v>
      </c>
      <c r="U289" s="5" t="s">
        <v>58</v>
      </c>
      <c r="V289" s="5" t="s">
        <v>84</v>
      </c>
    </row>
    <row r="290" customFormat="false" ht="22.35" hidden="false" customHeight="false" outlineLevel="0" collapsed="false">
      <c r="A290" s="5" t="s">
        <v>2745</v>
      </c>
      <c r="B290" s="5" t="s">
        <v>2735</v>
      </c>
      <c r="C290" s="5" t="s">
        <v>2736</v>
      </c>
      <c r="D290" s="5" t="s">
        <v>2746</v>
      </c>
      <c r="E290" s="5" t="s">
        <v>2747</v>
      </c>
      <c r="F290" s="5" t="s">
        <v>2748</v>
      </c>
      <c r="G290" s="5" t="s">
        <v>1470</v>
      </c>
      <c r="H290" s="5" t="s">
        <v>2734</v>
      </c>
      <c r="I290" s="5" t="s">
        <v>1664</v>
      </c>
      <c r="J290" s="5" t="s">
        <v>1585</v>
      </c>
      <c r="K290" s="5" t="s">
        <v>2749</v>
      </c>
      <c r="L290" s="5" t="s">
        <v>51</v>
      </c>
      <c r="M290" s="5" t="s">
        <v>79</v>
      </c>
      <c r="N290" s="5" t="s">
        <v>53</v>
      </c>
      <c r="O290" s="5" t="s">
        <v>67</v>
      </c>
      <c r="P290" s="5" t="n">
        <v>1</v>
      </c>
      <c r="Q290" s="5" t="s">
        <v>2750</v>
      </c>
      <c r="R290" s="5" t="s">
        <v>2751</v>
      </c>
      <c r="S290" s="5" t="s">
        <v>2752</v>
      </c>
      <c r="T290" s="5" t="s">
        <v>84</v>
      </c>
      <c r="U290" s="5" t="s">
        <v>58</v>
      </c>
      <c r="V290" s="5" t="s">
        <v>84</v>
      </c>
    </row>
    <row r="291" customFormat="false" ht="22.35" hidden="false" customHeight="false" outlineLevel="0" collapsed="false">
      <c r="A291" s="5" t="s">
        <v>2753</v>
      </c>
      <c r="B291" s="5" t="s">
        <v>2735</v>
      </c>
      <c r="C291" s="5" t="s">
        <v>2736</v>
      </c>
      <c r="D291" s="5" t="s">
        <v>2754</v>
      </c>
      <c r="E291" s="5" t="s">
        <v>2755</v>
      </c>
      <c r="F291" s="5" t="s">
        <v>2756</v>
      </c>
      <c r="G291" s="5" t="s">
        <v>1470</v>
      </c>
      <c r="H291" s="5" t="s">
        <v>2039</v>
      </c>
      <c r="I291" s="5" t="s">
        <v>693</v>
      </c>
      <c r="J291" s="5" t="s">
        <v>2757</v>
      </c>
      <c r="K291" s="5" t="s">
        <v>1647</v>
      </c>
      <c r="L291" s="5" t="s">
        <v>51</v>
      </c>
      <c r="M291" s="5" t="s">
        <v>79</v>
      </c>
      <c r="N291" s="5" t="s">
        <v>53</v>
      </c>
      <c r="O291" s="5" t="s">
        <v>2682</v>
      </c>
      <c r="P291" s="5" t="n">
        <v>1</v>
      </c>
      <c r="Q291" s="5" t="s">
        <v>2003</v>
      </c>
      <c r="R291" s="5" t="s">
        <v>2758</v>
      </c>
      <c r="S291" s="5" t="s">
        <v>2759</v>
      </c>
      <c r="T291" s="5" t="s">
        <v>84</v>
      </c>
      <c r="U291" s="5" t="s">
        <v>58</v>
      </c>
      <c r="V291" s="5" t="s">
        <v>84</v>
      </c>
    </row>
    <row r="292" customFormat="false" ht="22.35" hidden="false" customHeight="false" outlineLevel="0" collapsed="false">
      <c r="A292" s="5" t="s">
        <v>2760</v>
      </c>
      <c r="B292" s="5" t="s">
        <v>2735</v>
      </c>
      <c r="C292" s="5" t="s">
        <v>2736</v>
      </c>
      <c r="D292" s="5" t="s">
        <v>2761</v>
      </c>
      <c r="E292" s="5" t="s">
        <v>2762</v>
      </c>
      <c r="F292" s="5" t="s">
        <v>2763</v>
      </c>
      <c r="G292" s="5" t="s">
        <v>2221</v>
      </c>
      <c r="H292" s="5" t="s">
        <v>2222</v>
      </c>
      <c r="I292" s="5" t="s">
        <v>2764</v>
      </c>
      <c r="J292" s="5" t="s">
        <v>2223</v>
      </c>
      <c r="K292" s="5" t="s">
        <v>2765</v>
      </c>
      <c r="L292" s="5" t="s">
        <v>51</v>
      </c>
      <c r="M292" s="5" t="s">
        <v>52</v>
      </c>
      <c r="N292" s="5" t="s">
        <v>53</v>
      </c>
      <c r="O292" s="5" t="s">
        <v>238</v>
      </c>
      <c r="P292" s="5" t="n">
        <v>2</v>
      </c>
      <c r="Q292" s="5" t="s">
        <v>2766</v>
      </c>
      <c r="R292" s="5" t="s">
        <v>2767</v>
      </c>
      <c r="S292" s="5" t="s">
        <v>1259</v>
      </c>
      <c r="T292" s="5" t="s">
        <v>84</v>
      </c>
      <c r="U292" s="5" t="s">
        <v>58</v>
      </c>
      <c r="V292" s="5" t="s">
        <v>84</v>
      </c>
    </row>
    <row r="293" customFormat="false" ht="22.35" hidden="false" customHeight="false" outlineLevel="0" collapsed="false">
      <c r="A293" s="5" t="s">
        <v>2768</v>
      </c>
      <c r="B293" s="5" t="s">
        <v>2769</v>
      </c>
      <c r="C293" s="5" t="s">
        <v>2770</v>
      </c>
      <c r="D293" s="5" t="s">
        <v>2771</v>
      </c>
      <c r="E293" s="5" t="s">
        <v>2772</v>
      </c>
      <c r="F293" s="5" t="s">
        <v>2773</v>
      </c>
      <c r="G293" s="5" t="s">
        <v>2770</v>
      </c>
      <c r="H293" s="5" t="s">
        <v>2774</v>
      </c>
      <c r="I293" s="5" t="s">
        <v>196</v>
      </c>
      <c r="J293" s="5" t="s">
        <v>2775</v>
      </c>
      <c r="K293" s="5" t="s">
        <v>2776</v>
      </c>
      <c r="L293" s="5" t="s">
        <v>51</v>
      </c>
      <c r="M293" s="5" t="s">
        <v>79</v>
      </c>
      <c r="N293" s="5" t="s">
        <v>164</v>
      </c>
      <c r="O293" s="5" t="s">
        <v>379</v>
      </c>
      <c r="P293" s="5" t="n">
        <v>4</v>
      </c>
      <c r="Q293" s="5" t="s">
        <v>2777</v>
      </c>
      <c r="R293" s="5" t="s">
        <v>2778</v>
      </c>
      <c r="S293" s="5" t="s">
        <v>2779</v>
      </c>
      <c r="T293" s="5" t="s">
        <v>84</v>
      </c>
      <c r="U293" s="5" t="s">
        <v>58</v>
      </c>
      <c r="V293" s="5" t="s">
        <v>51</v>
      </c>
    </row>
    <row r="294" customFormat="false" ht="22.35" hidden="false" customHeight="false" outlineLevel="0" collapsed="false">
      <c r="A294" s="5" t="s">
        <v>2780</v>
      </c>
      <c r="B294" s="5" t="s">
        <v>2769</v>
      </c>
      <c r="C294" s="5" t="s">
        <v>2770</v>
      </c>
      <c r="D294" s="5" t="s">
        <v>2781</v>
      </c>
      <c r="E294" s="5" t="s">
        <v>2782</v>
      </c>
      <c r="F294" s="5" t="s">
        <v>2783</v>
      </c>
      <c r="G294" s="5" t="s">
        <v>2770</v>
      </c>
      <c r="H294" s="5" t="s">
        <v>2768</v>
      </c>
      <c r="I294" s="5" t="s">
        <v>196</v>
      </c>
      <c r="J294" s="5" t="s">
        <v>162</v>
      </c>
      <c r="K294" s="5" t="s">
        <v>398</v>
      </c>
      <c r="L294" s="5" t="s">
        <v>51</v>
      </c>
      <c r="M294" s="5" t="s">
        <v>79</v>
      </c>
      <c r="N294" s="5" t="s">
        <v>53</v>
      </c>
      <c r="O294" s="5" t="s">
        <v>2784</v>
      </c>
      <c r="P294" s="5" t="n">
        <v>2</v>
      </c>
      <c r="Q294" s="5" t="s">
        <v>2785</v>
      </c>
      <c r="R294" s="5" t="s">
        <v>635</v>
      </c>
      <c r="S294" s="5" t="s">
        <v>2786</v>
      </c>
      <c r="T294" s="5" t="s">
        <v>84</v>
      </c>
      <c r="U294" s="5" t="s">
        <v>58</v>
      </c>
      <c r="V294" s="5" t="s">
        <v>51</v>
      </c>
    </row>
    <row r="295" customFormat="false" ht="22.35" hidden="false" customHeight="false" outlineLevel="0" collapsed="false">
      <c r="A295" s="5" t="s">
        <v>2787</v>
      </c>
      <c r="B295" s="5" t="s">
        <v>2769</v>
      </c>
      <c r="C295" s="5" t="s">
        <v>2770</v>
      </c>
      <c r="D295" s="5" t="s">
        <v>2788</v>
      </c>
      <c r="E295" s="5" t="s">
        <v>2789</v>
      </c>
      <c r="F295" s="5" t="s">
        <v>2790</v>
      </c>
      <c r="G295" s="5" t="s">
        <v>2770</v>
      </c>
      <c r="H295" s="5" t="s">
        <v>2780</v>
      </c>
      <c r="I295" s="5" t="s">
        <v>196</v>
      </c>
      <c r="J295" s="5" t="s">
        <v>2791</v>
      </c>
      <c r="K295" s="5" t="s">
        <v>2792</v>
      </c>
      <c r="L295" s="5" t="s">
        <v>84</v>
      </c>
      <c r="M295" s="5" t="s">
        <v>79</v>
      </c>
      <c r="N295" s="5" t="s">
        <v>53</v>
      </c>
      <c r="O295" s="5" t="s">
        <v>105</v>
      </c>
      <c r="P295" s="5" t="n">
        <v>1</v>
      </c>
      <c r="Q295" s="5" t="s">
        <v>2793</v>
      </c>
      <c r="R295" s="5" t="s">
        <v>2794</v>
      </c>
      <c r="S295" s="5" t="s">
        <v>401</v>
      </c>
      <c r="T295" s="5" t="s">
        <v>84</v>
      </c>
      <c r="U295" s="5" t="s">
        <v>58</v>
      </c>
      <c r="V295" s="5" t="s">
        <v>51</v>
      </c>
    </row>
    <row r="296" customFormat="false" ht="22.35" hidden="false" customHeight="false" outlineLevel="0" collapsed="false">
      <c r="A296" s="5" t="s">
        <v>2795</v>
      </c>
      <c r="B296" s="5" t="s">
        <v>2796</v>
      </c>
      <c r="C296" s="5" t="s">
        <v>2797</v>
      </c>
      <c r="D296" s="5" t="s">
        <v>2798</v>
      </c>
      <c r="E296" s="5" t="s">
        <v>2799</v>
      </c>
      <c r="F296" s="5" t="s">
        <v>2800</v>
      </c>
      <c r="G296" s="5" t="s">
        <v>2770</v>
      </c>
      <c r="H296" s="5" t="s">
        <v>1107</v>
      </c>
      <c r="I296" s="5" t="s">
        <v>568</v>
      </c>
      <c r="J296" s="5" t="s">
        <v>2801</v>
      </c>
      <c r="K296" s="5" t="s">
        <v>2802</v>
      </c>
      <c r="L296" s="5" t="s">
        <v>51</v>
      </c>
      <c r="M296" s="5" t="s">
        <v>79</v>
      </c>
      <c r="N296" s="5" t="s">
        <v>164</v>
      </c>
      <c r="O296" s="5" t="s">
        <v>361</v>
      </c>
      <c r="P296" s="5" t="n">
        <v>2</v>
      </c>
      <c r="Q296" s="5" t="s">
        <v>2803</v>
      </c>
      <c r="R296" s="5" t="s">
        <v>2804</v>
      </c>
      <c r="S296" s="5" t="s">
        <v>2805</v>
      </c>
      <c r="T296" s="5" t="s">
        <v>84</v>
      </c>
      <c r="U296" s="5" t="s">
        <v>58</v>
      </c>
      <c r="V296" s="5" t="s">
        <v>84</v>
      </c>
    </row>
    <row r="297" customFormat="false" ht="22.35" hidden="false" customHeight="false" outlineLevel="0" collapsed="false">
      <c r="A297" s="5" t="s">
        <v>2806</v>
      </c>
      <c r="B297" s="5" t="s">
        <v>2796</v>
      </c>
      <c r="C297" s="5" t="s">
        <v>2797</v>
      </c>
      <c r="D297" s="5" t="s">
        <v>2807</v>
      </c>
      <c r="E297" s="5" t="s">
        <v>2808</v>
      </c>
      <c r="F297" s="5" t="s">
        <v>2809</v>
      </c>
      <c r="G297" s="5" t="s">
        <v>2770</v>
      </c>
      <c r="H297" s="5" t="s">
        <v>1740</v>
      </c>
      <c r="I297" s="5" t="s">
        <v>693</v>
      </c>
      <c r="J297" s="5" t="s">
        <v>2810</v>
      </c>
      <c r="K297" s="5" t="s">
        <v>770</v>
      </c>
      <c r="L297" s="5" t="s">
        <v>51</v>
      </c>
      <c r="M297" s="5" t="s">
        <v>52</v>
      </c>
      <c r="N297" s="5" t="s">
        <v>53</v>
      </c>
      <c r="O297" s="5" t="s">
        <v>361</v>
      </c>
      <c r="P297" s="5" t="n">
        <v>2</v>
      </c>
      <c r="Q297" s="5" t="s">
        <v>2811</v>
      </c>
      <c r="R297" s="5" t="s">
        <v>2812</v>
      </c>
      <c r="S297" s="5" t="s">
        <v>2813</v>
      </c>
      <c r="T297" s="5" t="s">
        <v>84</v>
      </c>
      <c r="U297" s="5" t="s">
        <v>58</v>
      </c>
      <c r="V297" s="5" t="s">
        <v>51</v>
      </c>
    </row>
    <row r="298" customFormat="false" ht="32.8" hidden="false" customHeight="false" outlineLevel="0" collapsed="false">
      <c r="A298" s="5" t="s">
        <v>2814</v>
      </c>
      <c r="B298" s="5" t="s">
        <v>2796</v>
      </c>
      <c r="C298" s="5" t="s">
        <v>2797</v>
      </c>
      <c r="D298" s="5" t="s">
        <v>2815</v>
      </c>
      <c r="E298" s="5" t="s">
        <v>2816</v>
      </c>
      <c r="F298" s="5" t="s">
        <v>2817</v>
      </c>
      <c r="G298" s="5" t="s">
        <v>2770</v>
      </c>
      <c r="H298" s="5" t="s">
        <v>232</v>
      </c>
      <c r="I298" s="5" t="s">
        <v>196</v>
      </c>
      <c r="J298" s="5" t="s">
        <v>1755</v>
      </c>
      <c r="K298" s="5" t="s">
        <v>2818</v>
      </c>
      <c r="L298" s="5" t="s">
        <v>84</v>
      </c>
      <c r="M298" s="5" t="s">
        <v>79</v>
      </c>
      <c r="N298" s="5" t="s">
        <v>53</v>
      </c>
      <c r="O298" s="5" t="s">
        <v>238</v>
      </c>
      <c r="P298" s="5" t="n">
        <v>2</v>
      </c>
      <c r="Q298" s="5" t="s">
        <v>2819</v>
      </c>
      <c r="R298" s="5" t="s">
        <v>2820</v>
      </c>
      <c r="S298" s="5" t="s">
        <v>2821</v>
      </c>
      <c r="T298" s="5" t="s">
        <v>84</v>
      </c>
      <c r="U298" s="5" t="s">
        <v>58</v>
      </c>
      <c r="V298" s="5" t="s">
        <v>84</v>
      </c>
    </row>
    <row r="299" customFormat="false" ht="22.35" hidden="false" customHeight="false" outlineLevel="0" collapsed="false">
      <c r="A299" s="5" t="s">
        <v>2822</v>
      </c>
      <c r="B299" s="5" t="s">
        <v>2796</v>
      </c>
      <c r="C299" s="5" t="s">
        <v>2797</v>
      </c>
      <c r="D299" s="5" t="s">
        <v>2823</v>
      </c>
      <c r="E299" s="5" t="s">
        <v>2824</v>
      </c>
      <c r="F299" s="5" t="s">
        <v>2825</v>
      </c>
      <c r="G299" s="5" t="s">
        <v>2770</v>
      </c>
      <c r="H299" s="5" t="s">
        <v>2826</v>
      </c>
      <c r="I299" s="5" t="s">
        <v>196</v>
      </c>
      <c r="J299" s="5" t="s">
        <v>2827</v>
      </c>
      <c r="K299" s="5" t="s">
        <v>820</v>
      </c>
      <c r="L299" s="5" t="s">
        <v>51</v>
      </c>
      <c r="M299" s="5" t="s">
        <v>79</v>
      </c>
      <c r="N299" s="5" t="s">
        <v>53</v>
      </c>
      <c r="O299" s="5" t="s">
        <v>238</v>
      </c>
      <c r="P299" s="5" t="n">
        <v>2</v>
      </c>
      <c r="Q299" s="5" t="s">
        <v>2828</v>
      </c>
      <c r="R299" s="5" t="s">
        <v>2829</v>
      </c>
      <c r="S299" s="5" t="s">
        <v>2830</v>
      </c>
      <c r="T299" s="5" t="s">
        <v>84</v>
      </c>
      <c r="U299" s="5" t="s">
        <v>58</v>
      </c>
      <c r="V299" s="5" t="s">
        <v>84</v>
      </c>
    </row>
    <row r="300" customFormat="false" ht="22.35" hidden="false" customHeight="false" outlineLevel="0" collapsed="false">
      <c r="A300" s="5" t="s">
        <v>2831</v>
      </c>
      <c r="B300" s="5" t="s">
        <v>1329</v>
      </c>
      <c r="C300" s="5" t="s">
        <v>2832</v>
      </c>
      <c r="D300" s="5" t="s">
        <v>2833</v>
      </c>
      <c r="E300" s="5" t="s">
        <v>2834</v>
      </c>
      <c r="F300" s="5" t="s">
        <v>2835</v>
      </c>
      <c r="G300" s="5" t="s">
        <v>2770</v>
      </c>
      <c r="H300" s="5" t="s">
        <v>2806</v>
      </c>
      <c r="I300" s="5" t="s">
        <v>1961</v>
      </c>
      <c r="J300" s="5" t="s">
        <v>2836</v>
      </c>
      <c r="K300" s="5" t="s">
        <v>2837</v>
      </c>
      <c r="L300" s="5" t="s">
        <v>51</v>
      </c>
      <c r="M300" s="5" t="s">
        <v>52</v>
      </c>
      <c r="N300" s="5" t="s">
        <v>53</v>
      </c>
      <c r="O300" s="5" t="s">
        <v>238</v>
      </c>
      <c r="P300" s="5" t="n">
        <v>2</v>
      </c>
      <c r="Q300" s="5" t="s">
        <v>2838</v>
      </c>
      <c r="R300" s="5" t="s">
        <v>2839</v>
      </c>
      <c r="S300" s="5" t="s">
        <v>2840</v>
      </c>
      <c r="T300" s="5" t="s">
        <v>180</v>
      </c>
      <c r="U300" s="5" t="s">
        <v>58</v>
      </c>
      <c r="V300" s="5" t="s">
        <v>51</v>
      </c>
    </row>
    <row r="301" customFormat="false" ht="22.35" hidden="false" customHeight="false" outlineLevel="0" collapsed="false">
      <c r="A301" s="5" t="s">
        <v>2841</v>
      </c>
      <c r="B301" s="5" t="s">
        <v>1329</v>
      </c>
      <c r="C301" s="5" t="s">
        <v>2832</v>
      </c>
      <c r="D301" s="5" t="s">
        <v>2842</v>
      </c>
      <c r="E301" s="5" t="s">
        <v>2843</v>
      </c>
      <c r="F301" s="5" t="s">
        <v>2844</v>
      </c>
      <c r="G301" s="5" t="s">
        <v>2770</v>
      </c>
      <c r="H301" s="5" t="s">
        <v>2831</v>
      </c>
      <c r="I301" s="5" t="s">
        <v>76</v>
      </c>
      <c r="J301" s="5" t="s">
        <v>2845</v>
      </c>
      <c r="K301" s="5" t="s">
        <v>2846</v>
      </c>
      <c r="L301" s="5" t="s">
        <v>51</v>
      </c>
      <c r="M301" s="5" t="s">
        <v>66</v>
      </c>
      <c r="N301" s="5" t="s">
        <v>53</v>
      </c>
      <c r="O301" s="5" t="s">
        <v>67</v>
      </c>
      <c r="P301" s="5" t="n">
        <v>1</v>
      </c>
      <c r="Q301" s="5" t="s">
        <v>2847</v>
      </c>
      <c r="R301" s="5" t="s">
        <v>2848</v>
      </c>
      <c r="S301" s="5" t="s">
        <v>2849</v>
      </c>
      <c r="T301" s="5" t="s">
        <v>180</v>
      </c>
      <c r="U301" s="5" t="s">
        <v>58</v>
      </c>
      <c r="V301" s="5" t="s">
        <v>51</v>
      </c>
    </row>
    <row r="302" customFormat="false" ht="22.35" hidden="false" customHeight="false" outlineLevel="0" collapsed="false">
      <c r="A302" s="5" t="s">
        <v>2850</v>
      </c>
      <c r="B302" s="5" t="s">
        <v>2851</v>
      </c>
      <c r="C302" s="5" t="s">
        <v>2852</v>
      </c>
      <c r="D302" s="5" t="s">
        <v>2853</v>
      </c>
      <c r="E302" s="5" t="s">
        <v>2854</v>
      </c>
      <c r="F302" s="5" t="s">
        <v>2855</v>
      </c>
      <c r="G302" s="5" t="s">
        <v>2770</v>
      </c>
      <c r="H302" s="5" t="s">
        <v>2704</v>
      </c>
      <c r="I302" s="5" t="s">
        <v>196</v>
      </c>
      <c r="J302" s="5" t="s">
        <v>2853</v>
      </c>
      <c r="K302" s="5" t="s">
        <v>2856</v>
      </c>
      <c r="L302" s="5" t="s">
        <v>51</v>
      </c>
      <c r="M302" s="5" t="s">
        <v>79</v>
      </c>
      <c r="N302" s="5" t="s">
        <v>53</v>
      </c>
      <c r="O302" s="5" t="s">
        <v>105</v>
      </c>
      <c r="P302" s="5" t="n">
        <v>1</v>
      </c>
      <c r="Q302" s="5" t="s">
        <v>2857</v>
      </c>
      <c r="R302" s="5" t="s">
        <v>2858</v>
      </c>
      <c r="S302" s="5" t="s">
        <v>1929</v>
      </c>
      <c r="T302" s="5" t="s">
        <v>84</v>
      </c>
      <c r="U302" s="5" t="s">
        <v>58</v>
      </c>
      <c r="V302" s="5" t="s">
        <v>51</v>
      </c>
    </row>
    <row r="303" customFormat="false" ht="22.35" hidden="false" customHeight="false" outlineLevel="0" collapsed="false">
      <c r="A303" s="5" t="s">
        <v>2859</v>
      </c>
      <c r="B303" s="5" t="s">
        <v>2851</v>
      </c>
      <c r="C303" s="5" t="s">
        <v>2852</v>
      </c>
      <c r="D303" s="5" t="s">
        <v>2860</v>
      </c>
      <c r="E303" s="5" t="s">
        <v>2861</v>
      </c>
      <c r="F303" s="5" t="s">
        <v>2862</v>
      </c>
      <c r="G303" s="5" t="s">
        <v>2770</v>
      </c>
      <c r="H303" s="5" t="s">
        <v>2850</v>
      </c>
      <c r="I303" s="5" t="s">
        <v>196</v>
      </c>
      <c r="J303" s="5" t="s">
        <v>488</v>
      </c>
      <c r="K303" s="5" t="s">
        <v>2863</v>
      </c>
      <c r="L303" s="5" t="s">
        <v>51</v>
      </c>
      <c r="M303" s="5" t="s">
        <v>79</v>
      </c>
      <c r="N303" s="5" t="s">
        <v>53</v>
      </c>
      <c r="O303" s="5" t="s">
        <v>1103</v>
      </c>
      <c r="P303" s="5" t="n">
        <v>1</v>
      </c>
      <c r="Q303" s="5" t="s">
        <v>2864</v>
      </c>
      <c r="R303" s="5" t="s">
        <v>2865</v>
      </c>
      <c r="S303" s="5" t="s">
        <v>2866</v>
      </c>
      <c r="T303" s="5" t="s">
        <v>84</v>
      </c>
      <c r="U303" s="5" t="s">
        <v>58</v>
      </c>
      <c r="V303" s="5" t="s">
        <v>51</v>
      </c>
    </row>
    <row r="304" customFormat="false" ht="22.35" hidden="false" customHeight="false" outlineLevel="0" collapsed="false">
      <c r="A304" s="5" t="s">
        <v>2867</v>
      </c>
      <c r="B304" s="5" t="s">
        <v>2851</v>
      </c>
      <c r="C304" s="5" t="s">
        <v>2852</v>
      </c>
      <c r="D304" s="5" t="s">
        <v>2868</v>
      </c>
      <c r="E304" s="5" t="s">
        <v>2869</v>
      </c>
      <c r="F304" s="5" t="s">
        <v>2870</v>
      </c>
      <c r="G304" s="5" t="s">
        <v>2473</v>
      </c>
      <c r="H304" s="5" t="s">
        <v>502</v>
      </c>
      <c r="I304" s="5" t="s">
        <v>196</v>
      </c>
      <c r="J304" s="5" t="s">
        <v>2871</v>
      </c>
      <c r="K304" s="5" t="s">
        <v>770</v>
      </c>
      <c r="L304" s="5" t="s">
        <v>51</v>
      </c>
      <c r="M304" s="5" t="s">
        <v>408</v>
      </c>
      <c r="N304" s="5" t="s">
        <v>53</v>
      </c>
      <c r="O304" s="5" t="s">
        <v>1103</v>
      </c>
      <c r="P304" s="5" t="n">
        <v>1</v>
      </c>
      <c r="Q304" s="5" t="s">
        <v>2872</v>
      </c>
      <c r="R304" s="5" t="s">
        <v>2873</v>
      </c>
      <c r="S304" s="5" t="s">
        <v>2874</v>
      </c>
      <c r="T304" s="5" t="s">
        <v>180</v>
      </c>
      <c r="U304" s="5" t="s">
        <v>58</v>
      </c>
      <c r="V304" s="5" t="s">
        <v>51</v>
      </c>
    </row>
    <row r="305" customFormat="false" ht="32.8" hidden="false" customHeight="false" outlineLevel="0" collapsed="false">
      <c r="A305" s="5" t="s">
        <v>2875</v>
      </c>
      <c r="B305" s="5" t="s">
        <v>2876</v>
      </c>
      <c r="C305" s="5" t="s">
        <v>2877</v>
      </c>
      <c r="D305" s="5" t="s">
        <v>2878</v>
      </c>
      <c r="E305" s="5" t="s">
        <v>2879</v>
      </c>
      <c r="F305" s="5" t="s">
        <v>2880</v>
      </c>
      <c r="G305" s="5" t="s">
        <v>2881</v>
      </c>
      <c r="H305" s="5" t="s">
        <v>2859</v>
      </c>
      <c r="I305" s="5" t="s">
        <v>2882</v>
      </c>
      <c r="J305" s="5" t="s">
        <v>2883</v>
      </c>
      <c r="K305" s="5" t="s">
        <v>2884</v>
      </c>
      <c r="L305" s="5" t="s">
        <v>84</v>
      </c>
      <c r="M305" s="5" t="s">
        <v>79</v>
      </c>
      <c r="N305" s="5" t="s">
        <v>53</v>
      </c>
      <c r="O305" s="5" t="s">
        <v>176</v>
      </c>
      <c r="P305" s="5" t="n">
        <v>1</v>
      </c>
      <c r="Q305" s="5" t="s">
        <v>2885</v>
      </c>
      <c r="R305" s="5" t="s">
        <v>2886</v>
      </c>
      <c r="S305" s="5" t="s">
        <v>2887</v>
      </c>
      <c r="T305" s="5" t="s">
        <v>84</v>
      </c>
      <c r="U305" s="5" t="s">
        <v>58</v>
      </c>
      <c r="V305" s="5" t="s">
        <v>51</v>
      </c>
    </row>
    <row r="306" customFormat="false" ht="22.35" hidden="false" customHeight="false" outlineLevel="0" collapsed="false">
      <c r="A306" s="5" t="s">
        <v>2888</v>
      </c>
      <c r="B306" s="5" t="s">
        <v>2876</v>
      </c>
      <c r="C306" s="5" t="s">
        <v>2877</v>
      </c>
      <c r="D306" s="5" t="s">
        <v>2889</v>
      </c>
      <c r="E306" s="5" t="s">
        <v>2890</v>
      </c>
      <c r="F306" s="5" t="s">
        <v>2891</v>
      </c>
      <c r="G306" s="5" t="s">
        <v>2881</v>
      </c>
      <c r="H306" s="5" t="s">
        <v>2859</v>
      </c>
      <c r="I306" s="5" t="s">
        <v>2892</v>
      </c>
      <c r="J306" s="5" t="s">
        <v>2893</v>
      </c>
      <c r="K306" s="5" t="s">
        <v>2894</v>
      </c>
      <c r="L306" s="5" t="s">
        <v>84</v>
      </c>
      <c r="M306" s="5" t="s">
        <v>79</v>
      </c>
      <c r="N306" s="5" t="s">
        <v>53</v>
      </c>
      <c r="O306" s="5" t="s">
        <v>176</v>
      </c>
      <c r="P306" s="5" t="n">
        <v>1</v>
      </c>
      <c r="Q306" s="5" t="s">
        <v>2895</v>
      </c>
      <c r="R306" s="5" t="s">
        <v>2896</v>
      </c>
      <c r="S306" s="5" t="s">
        <v>2805</v>
      </c>
      <c r="T306" s="5" t="s">
        <v>84</v>
      </c>
      <c r="U306" s="5" t="s">
        <v>58</v>
      </c>
      <c r="V306" s="5" t="s">
        <v>51</v>
      </c>
    </row>
    <row r="307" customFormat="false" ht="32.8" hidden="false" customHeight="false" outlineLevel="0" collapsed="false">
      <c r="A307" s="5" t="s">
        <v>2897</v>
      </c>
      <c r="B307" s="5" t="s">
        <v>2876</v>
      </c>
      <c r="C307" s="5" t="s">
        <v>2877</v>
      </c>
      <c r="D307" s="5" t="s">
        <v>2898</v>
      </c>
      <c r="E307" s="5" t="s">
        <v>2899</v>
      </c>
      <c r="F307" s="5" t="s">
        <v>2900</v>
      </c>
      <c r="G307" s="5" t="s">
        <v>2881</v>
      </c>
      <c r="H307" s="5" t="s">
        <v>2901</v>
      </c>
      <c r="I307" s="5" t="s">
        <v>568</v>
      </c>
      <c r="J307" s="5" t="s">
        <v>2902</v>
      </c>
      <c r="K307" s="5" t="s">
        <v>2903</v>
      </c>
      <c r="L307" s="5" t="s">
        <v>84</v>
      </c>
      <c r="M307" s="5" t="s">
        <v>79</v>
      </c>
      <c r="N307" s="5" t="s">
        <v>53</v>
      </c>
      <c r="O307" s="5" t="s">
        <v>67</v>
      </c>
      <c r="P307" s="5" t="n">
        <v>1</v>
      </c>
      <c r="Q307" s="5" t="s">
        <v>2904</v>
      </c>
      <c r="R307" s="5" t="s">
        <v>2905</v>
      </c>
      <c r="S307" s="5" t="s">
        <v>2906</v>
      </c>
      <c r="T307" s="5" t="s">
        <v>84</v>
      </c>
      <c r="U307" s="5" t="s">
        <v>58</v>
      </c>
      <c r="V307" s="5" t="s">
        <v>51</v>
      </c>
    </row>
    <row r="308" customFormat="false" ht="22.35" hidden="false" customHeight="false" outlineLevel="0" collapsed="false">
      <c r="A308" s="5" t="s">
        <v>2907</v>
      </c>
      <c r="B308" s="5" t="s">
        <v>2876</v>
      </c>
      <c r="C308" s="5" t="s">
        <v>2877</v>
      </c>
      <c r="D308" s="5" t="s">
        <v>2908</v>
      </c>
      <c r="E308" s="5" t="s">
        <v>2909</v>
      </c>
      <c r="F308" s="5" t="s">
        <v>2910</v>
      </c>
      <c r="G308" s="5" t="s">
        <v>2881</v>
      </c>
      <c r="H308" s="5" t="s">
        <v>2859</v>
      </c>
      <c r="I308" s="5" t="s">
        <v>578</v>
      </c>
      <c r="J308" s="5" t="s">
        <v>2911</v>
      </c>
      <c r="K308" s="5" t="s">
        <v>2912</v>
      </c>
      <c r="L308" s="5" t="s">
        <v>84</v>
      </c>
      <c r="M308" s="5" t="s">
        <v>79</v>
      </c>
      <c r="N308" s="5" t="s">
        <v>53</v>
      </c>
      <c r="O308" s="5" t="s">
        <v>389</v>
      </c>
      <c r="P308" s="5" t="n">
        <v>1</v>
      </c>
      <c r="Q308" s="5" t="s">
        <v>2913</v>
      </c>
      <c r="R308" s="5" t="s">
        <v>2914</v>
      </c>
      <c r="S308" s="5" t="s">
        <v>2915</v>
      </c>
      <c r="T308" s="5" t="s">
        <v>84</v>
      </c>
      <c r="U308" s="5" t="s">
        <v>58</v>
      </c>
      <c r="V308" s="5" t="s">
        <v>51</v>
      </c>
    </row>
    <row r="309" customFormat="false" ht="22.35" hidden="false" customHeight="false" outlineLevel="0" collapsed="false">
      <c r="A309" s="5" t="s">
        <v>2916</v>
      </c>
      <c r="B309" s="5" t="s">
        <v>2876</v>
      </c>
      <c r="C309" s="5" t="s">
        <v>2877</v>
      </c>
      <c r="D309" s="5" t="s">
        <v>2917</v>
      </c>
      <c r="E309" s="5" t="s">
        <v>2918</v>
      </c>
      <c r="F309" s="5" t="s">
        <v>2919</v>
      </c>
      <c r="G309" s="5" t="s">
        <v>2881</v>
      </c>
      <c r="H309" s="5" t="s">
        <v>2814</v>
      </c>
      <c r="I309" s="5" t="s">
        <v>196</v>
      </c>
      <c r="J309" s="5" t="s">
        <v>2920</v>
      </c>
      <c r="K309" s="5" t="s">
        <v>2921</v>
      </c>
      <c r="L309" s="5" t="s">
        <v>84</v>
      </c>
      <c r="M309" s="5" t="s">
        <v>79</v>
      </c>
      <c r="N309" s="5" t="s">
        <v>164</v>
      </c>
      <c r="O309" s="5" t="s">
        <v>361</v>
      </c>
      <c r="P309" s="5" t="n">
        <v>2</v>
      </c>
      <c r="Q309" s="5" t="s">
        <v>2922</v>
      </c>
      <c r="R309" s="5" t="s">
        <v>2923</v>
      </c>
      <c r="S309" s="5" t="s">
        <v>2924</v>
      </c>
      <c r="T309" s="5" t="s">
        <v>84</v>
      </c>
      <c r="U309" s="5" t="s">
        <v>58</v>
      </c>
      <c r="V309" s="5" t="s">
        <v>51</v>
      </c>
    </row>
    <row r="310" customFormat="false" ht="22.35" hidden="false" customHeight="false" outlineLevel="0" collapsed="false">
      <c r="A310" s="5" t="s">
        <v>2925</v>
      </c>
      <c r="B310" s="5" t="s">
        <v>2876</v>
      </c>
      <c r="C310" s="5" t="s">
        <v>2877</v>
      </c>
      <c r="D310" s="5" t="s">
        <v>2926</v>
      </c>
      <c r="E310" s="5" t="s">
        <v>2927</v>
      </c>
      <c r="F310" s="5" t="s">
        <v>2928</v>
      </c>
      <c r="G310" s="5" t="s">
        <v>2881</v>
      </c>
      <c r="H310" s="5" t="s">
        <v>2929</v>
      </c>
      <c r="I310" s="5" t="s">
        <v>2892</v>
      </c>
      <c r="J310" s="5" t="s">
        <v>2930</v>
      </c>
      <c r="K310" s="5" t="s">
        <v>2931</v>
      </c>
      <c r="L310" s="5" t="s">
        <v>84</v>
      </c>
      <c r="M310" s="5" t="s">
        <v>79</v>
      </c>
      <c r="N310" s="5" t="s">
        <v>164</v>
      </c>
      <c r="O310" s="5" t="s">
        <v>361</v>
      </c>
      <c r="P310" s="5" t="n">
        <v>2</v>
      </c>
      <c r="Q310" s="5" t="s">
        <v>2932</v>
      </c>
      <c r="R310" s="5" t="s">
        <v>2933</v>
      </c>
      <c r="S310" s="5" t="s">
        <v>2542</v>
      </c>
      <c r="T310" s="5" t="s">
        <v>84</v>
      </c>
      <c r="U310" s="5" t="s">
        <v>58</v>
      </c>
      <c r="V310" s="5" t="s">
        <v>51</v>
      </c>
    </row>
    <row r="311" customFormat="false" ht="22.35" hidden="false" customHeight="false" outlineLevel="0" collapsed="false">
      <c r="A311" s="5" t="s">
        <v>2934</v>
      </c>
      <c r="B311" s="5" t="s">
        <v>2876</v>
      </c>
      <c r="C311" s="5" t="s">
        <v>2877</v>
      </c>
      <c r="D311" s="5" t="s">
        <v>2935</v>
      </c>
      <c r="E311" s="5" t="s">
        <v>2936</v>
      </c>
      <c r="F311" s="5" t="s">
        <v>2937</v>
      </c>
      <c r="G311" s="5" t="s">
        <v>2881</v>
      </c>
      <c r="H311" s="5" t="s">
        <v>2925</v>
      </c>
      <c r="I311" s="5" t="s">
        <v>196</v>
      </c>
      <c r="J311" s="5" t="s">
        <v>2938</v>
      </c>
      <c r="K311" s="5" t="s">
        <v>2939</v>
      </c>
      <c r="L311" s="5" t="s">
        <v>84</v>
      </c>
      <c r="M311" s="5" t="s">
        <v>79</v>
      </c>
      <c r="N311" s="5" t="s">
        <v>53</v>
      </c>
      <c r="O311" s="5" t="s">
        <v>67</v>
      </c>
      <c r="P311" s="5" t="n">
        <v>1</v>
      </c>
      <c r="Q311" s="5" t="s">
        <v>2940</v>
      </c>
      <c r="R311" s="5" t="s">
        <v>2941</v>
      </c>
      <c r="S311" s="5" t="s">
        <v>2942</v>
      </c>
      <c r="T311" s="5" t="s">
        <v>84</v>
      </c>
      <c r="U311" s="5" t="s">
        <v>58</v>
      </c>
      <c r="V311" s="5" t="s">
        <v>51</v>
      </c>
    </row>
    <row r="312" customFormat="false" ht="32.8" hidden="false" customHeight="false" outlineLevel="0" collapsed="false">
      <c r="A312" s="5" t="s">
        <v>2943</v>
      </c>
      <c r="B312" s="5" t="s">
        <v>2876</v>
      </c>
      <c r="C312" s="5" t="s">
        <v>2877</v>
      </c>
      <c r="D312" s="5" t="s">
        <v>2944</v>
      </c>
      <c r="E312" s="5" t="s">
        <v>2945</v>
      </c>
      <c r="F312" s="5" t="s">
        <v>2946</v>
      </c>
      <c r="G312" s="5" t="s">
        <v>2881</v>
      </c>
      <c r="H312" s="5" t="s">
        <v>2859</v>
      </c>
      <c r="I312" s="5" t="s">
        <v>196</v>
      </c>
      <c r="J312" s="5" t="s">
        <v>2947</v>
      </c>
      <c r="K312" s="5" t="s">
        <v>2948</v>
      </c>
      <c r="L312" s="5" t="s">
        <v>84</v>
      </c>
      <c r="M312" s="5" t="s">
        <v>79</v>
      </c>
      <c r="N312" s="5" t="s">
        <v>53</v>
      </c>
      <c r="O312" s="5" t="s">
        <v>67</v>
      </c>
      <c r="P312" s="5" t="n">
        <v>1</v>
      </c>
      <c r="Q312" s="5" t="s">
        <v>2949</v>
      </c>
      <c r="R312" s="5" t="s">
        <v>2950</v>
      </c>
      <c r="S312" s="5" t="s">
        <v>442</v>
      </c>
      <c r="T312" s="5" t="s">
        <v>84</v>
      </c>
      <c r="U312" s="5" t="s">
        <v>58</v>
      </c>
      <c r="V312" s="5" t="s">
        <v>51</v>
      </c>
    </row>
    <row r="313" customFormat="false" ht="22.35" hidden="false" customHeight="false" outlineLevel="0" collapsed="false">
      <c r="A313" s="5" t="s">
        <v>2951</v>
      </c>
      <c r="B313" s="5" t="s">
        <v>2876</v>
      </c>
      <c r="C313" s="5" t="s">
        <v>2877</v>
      </c>
      <c r="D313" s="5" t="s">
        <v>2952</v>
      </c>
      <c r="E313" s="5" t="s">
        <v>2953</v>
      </c>
      <c r="F313" s="5" t="s">
        <v>2954</v>
      </c>
      <c r="G313" s="5" t="s">
        <v>2881</v>
      </c>
      <c r="H313" s="5" t="s">
        <v>2955</v>
      </c>
      <c r="I313" s="5" t="s">
        <v>196</v>
      </c>
      <c r="J313" s="5" t="s">
        <v>2956</v>
      </c>
      <c r="K313" s="5" t="s">
        <v>2792</v>
      </c>
      <c r="L313" s="5" t="s">
        <v>84</v>
      </c>
      <c r="M313" s="5" t="s">
        <v>79</v>
      </c>
      <c r="N313" s="5" t="s">
        <v>53</v>
      </c>
      <c r="O313" s="5" t="s">
        <v>105</v>
      </c>
      <c r="P313" s="5" t="n">
        <v>1</v>
      </c>
      <c r="Q313" s="5" t="s">
        <v>2957</v>
      </c>
      <c r="R313" s="5" t="s">
        <v>2958</v>
      </c>
      <c r="S313" s="5" t="s">
        <v>401</v>
      </c>
      <c r="T313" s="5" t="s">
        <v>84</v>
      </c>
      <c r="U313" s="5" t="s">
        <v>58</v>
      </c>
      <c r="V313" s="5" t="s">
        <v>51</v>
      </c>
    </row>
    <row r="314" customFormat="false" ht="22.35" hidden="false" customHeight="false" outlineLevel="0" collapsed="false">
      <c r="A314" s="5" t="s">
        <v>2959</v>
      </c>
      <c r="B314" s="5" t="s">
        <v>2960</v>
      </c>
      <c r="C314" s="5" t="s">
        <v>2961</v>
      </c>
      <c r="D314" s="5" t="s">
        <v>2962</v>
      </c>
      <c r="E314" s="5" t="s">
        <v>2963</v>
      </c>
      <c r="F314" s="5" t="s">
        <v>2964</v>
      </c>
      <c r="G314" s="5" t="s">
        <v>2770</v>
      </c>
      <c r="H314" s="5" t="s">
        <v>2780</v>
      </c>
      <c r="I314" s="5" t="s">
        <v>196</v>
      </c>
      <c r="J314" s="5" t="s">
        <v>2965</v>
      </c>
      <c r="K314" s="5" t="s">
        <v>2966</v>
      </c>
      <c r="L314" s="5" t="s">
        <v>84</v>
      </c>
      <c r="M314" s="5" t="s">
        <v>52</v>
      </c>
      <c r="N314" s="5" t="s">
        <v>53</v>
      </c>
      <c r="O314" s="5" t="s">
        <v>238</v>
      </c>
      <c r="P314" s="5" t="n">
        <v>2</v>
      </c>
      <c r="Q314" s="5" t="s">
        <v>2967</v>
      </c>
      <c r="R314" s="5" t="s">
        <v>2968</v>
      </c>
      <c r="S314" s="5" t="s">
        <v>2969</v>
      </c>
      <c r="T314" s="5" t="s">
        <v>84</v>
      </c>
      <c r="U314" s="5" t="s">
        <v>774</v>
      </c>
      <c r="V314" s="5" t="s">
        <v>84</v>
      </c>
    </row>
    <row r="315" customFormat="false" ht="22.35" hidden="false" customHeight="false" outlineLevel="0" collapsed="false">
      <c r="A315" s="5" t="s">
        <v>2970</v>
      </c>
      <c r="B315" s="5" t="s">
        <v>2960</v>
      </c>
      <c r="C315" s="5" t="s">
        <v>2961</v>
      </c>
      <c r="D315" s="5" t="s">
        <v>2971</v>
      </c>
      <c r="E315" s="5" t="s">
        <v>2972</v>
      </c>
      <c r="F315" s="5" t="s">
        <v>2973</v>
      </c>
      <c r="G315" s="5" t="s">
        <v>2961</v>
      </c>
      <c r="H315" s="5" t="s">
        <v>2959</v>
      </c>
      <c r="I315" s="5" t="s">
        <v>568</v>
      </c>
      <c r="J315" s="5" t="s">
        <v>2974</v>
      </c>
      <c r="K315" s="5" t="s">
        <v>2975</v>
      </c>
      <c r="L315" s="5" t="s">
        <v>51</v>
      </c>
      <c r="M315" s="5" t="s">
        <v>2224</v>
      </c>
      <c r="N315" s="5" t="s">
        <v>164</v>
      </c>
      <c r="O315" s="5" t="s">
        <v>2976</v>
      </c>
      <c r="P315" s="5" t="n">
        <v>2</v>
      </c>
      <c r="Q315" s="5" t="s">
        <v>2977</v>
      </c>
      <c r="R315" s="5" t="s">
        <v>2978</v>
      </c>
      <c r="S315" s="5" t="s">
        <v>2979</v>
      </c>
      <c r="T315" s="5" t="s">
        <v>51</v>
      </c>
      <c r="U315" s="5" t="s">
        <v>774</v>
      </c>
      <c r="V315" s="5" t="s">
        <v>84</v>
      </c>
    </row>
    <row r="316" customFormat="false" ht="22.35" hidden="false" customHeight="false" outlineLevel="0" collapsed="false">
      <c r="A316" s="5" t="s">
        <v>2980</v>
      </c>
      <c r="B316" s="5" t="s">
        <v>2960</v>
      </c>
      <c r="C316" s="5" t="s">
        <v>2961</v>
      </c>
      <c r="D316" s="5" t="s">
        <v>2981</v>
      </c>
      <c r="E316" s="5" t="s">
        <v>2982</v>
      </c>
      <c r="F316" s="5" t="s">
        <v>2983</v>
      </c>
      <c r="G316" s="5" t="s">
        <v>2961</v>
      </c>
      <c r="H316" s="5" t="s">
        <v>1466</v>
      </c>
      <c r="I316" s="5" t="s">
        <v>578</v>
      </c>
      <c r="J316" s="5" t="s">
        <v>2984</v>
      </c>
      <c r="K316" s="5" t="s">
        <v>1473</v>
      </c>
      <c r="L316" s="5" t="s">
        <v>51</v>
      </c>
      <c r="M316" s="5" t="s">
        <v>2224</v>
      </c>
      <c r="N316" s="5" t="s">
        <v>53</v>
      </c>
      <c r="O316" s="5" t="s">
        <v>2985</v>
      </c>
      <c r="P316" s="5" t="n">
        <v>1</v>
      </c>
      <c r="Q316" s="5" t="s">
        <v>2986</v>
      </c>
      <c r="R316" s="5" t="s">
        <v>2987</v>
      </c>
      <c r="S316" s="5" t="s">
        <v>1424</v>
      </c>
      <c r="T316" s="5" t="s">
        <v>51</v>
      </c>
      <c r="U316" s="5" t="s">
        <v>774</v>
      </c>
      <c r="V316" s="5" t="s">
        <v>84</v>
      </c>
    </row>
    <row r="317" customFormat="false" ht="22.35" hidden="false" customHeight="false" outlineLevel="0" collapsed="false">
      <c r="A317" s="5" t="s">
        <v>2988</v>
      </c>
      <c r="B317" s="5" t="s">
        <v>2960</v>
      </c>
      <c r="C317" s="5" t="s">
        <v>2961</v>
      </c>
      <c r="D317" s="5" t="s">
        <v>2989</v>
      </c>
      <c r="E317" s="5" t="s">
        <v>2990</v>
      </c>
      <c r="F317" s="5" t="s">
        <v>2991</v>
      </c>
      <c r="G317" s="5" t="s">
        <v>2961</v>
      </c>
      <c r="H317" s="5" t="s">
        <v>2676</v>
      </c>
      <c r="I317" s="5" t="s">
        <v>578</v>
      </c>
      <c r="J317" s="5" t="s">
        <v>2992</v>
      </c>
      <c r="K317" s="5" t="s">
        <v>2185</v>
      </c>
      <c r="L317" s="5" t="s">
        <v>51</v>
      </c>
      <c r="M317" s="5" t="s">
        <v>2224</v>
      </c>
      <c r="N317" s="5" t="s">
        <v>53</v>
      </c>
      <c r="O317" s="5" t="s">
        <v>2993</v>
      </c>
      <c r="P317" s="5" t="n">
        <v>1</v>
      </c>
      <c r="Q317" s="5" t="s">
        <v>2994</v>
      </c>
      <c r="R317" s="5" t="s">
        <v>2995</v>
      </c>
      <c r="S317" s="5" t="s">
        <v>1551</v>
      </c>
      <c r="T317" s="5" t="s">
        <v>51</v>
      </c>
      <c r="U317" s="5" t="s">
        <v>774</v>
      </c>
      <c r="V317" s="5" t="s">
        <v>84</v>
      </c>
    </row>
    <row r="318" customFormat="false" ht="22.35" hidden="false" customHeight="false" outlineLevel="0" collapsed="false">
      <c r="A318" s="5" t="s">
        <v>2996</v>
      </c>
      <c r="B318" s="5" t="s">
        <v>2960</v>
      </c>
      <c r="C318" s="5" t="s">
        <v>2961</v>
      </c>
      <c r="D318" s="5" t="s">
        <v>2997</v>
      </c>
      <c r="E318" s="5" t="s">
        <v>2998</v>
      </c>
      <c r="F318" s="5" t="s">
        <v>2999</v>
      </c>
      <c r="G318" s="5" t="s">
        <v>2961</v>
      </c>
      <c r="H318" s="5" t="s">
        <v>2570</v>
      </c>
      <c r="I318" s="5" t="s">
        <v>196</v>
      </c>
      <c r="J318" s="5" t="s">
        <v>3000</v>
      </c>
      <c r="K318" s="5" t="s">
        <v>2846</v>
      </c>
      <c r="L318" s="5" t="s">
        <v>51</v>
      </c>
      <c r="M318" s="5" t="s">
        <v>2224</v>
      </c>
      <c r="N318" s="5" t="s">
        <v>53</v>
      </c>
      <c r="O318" s="5" t="s">
        <v>3001</v>
      </c>
      <c r="P318" s="5" t="n">
        <v>1</v>
      </c>
      <c r="Q318" s="5" t="s">
        <v>2575</v>
      </c>
      <c r="R318" s="5" t="s">
        <v>3002</v>
      </c>
      <c r="S318" s="5" t="s">
        <v>2542</v>
      </c>
      <c r="T318" s="5" t="s">
        <v>84</v>
      </c>
      <c r="U318" s="5" t="s">
        <v>58</v>
      </c>
      <c r="V318" s="5" t="s">
        <v>84</v>
      </c>
    </row>
    <row r="319" customFormat="false" ht="22.35" hidden="false" customHeight="false" outlineLevel="0" collapsed="false">
      <c r="A319" s="5" t="s">
        <v>3003</v>
      </c>
      <c r="B319" s="5" t="s">
        <v>2960</v>
      </c>
      <c r="C319" s="5" t="s">
        <v>2961</v>
      </c>
      <c r="D319" s="5" t="s">
        <v>3004</v>
      </c>
      <c r="E319" s="5" t="s">
        <v>3005</v>
      </c>
      <c r="F319" s="5" t="s">
        <v>3006</v>
      </c>
      <c r="G319" s="5" t="s">
        <v>2961</v>
      </c>
      <c r="H319" s="5" t="s">
        <v>3007</v>
      </c>
      <c r="I319" s="5" t="s">
        <v>196</v>
      </c>
      <c r="J319" s="5" t="s">
        <v>2185</v>
      </c>
      <c r="K319" s="5" t="s">
        <v>3008</v>
      </c>
      <c r="L319" s="5" t="s">
        <v>51</v>
      </c>
      <c r="M319" s="5" t="s">
        <v>2224</v>
      </c>
      <c r="N319" s="5" t="s">
        <v>53</v>
      </c>
      <c r="O319" s="5" t="s">
        <v>2993</v>
      </c>
      <c r="P319" s="5" t="n">
        <v>1</v>
      </c>
      <c r="Q319" s="5" t="s">
        <v>3009</v>
      </c>
      <c r="R319" s="5" t="s">
        <v>3010</v>
      </c>
      <c r="S319" s="5" t="s">
        <v>3011</v>
      </c>
      <c r="T319" s="5" t="s">
        <v>51</v>
      </c>
      <c r="U319" s="5" t="s">
        <v>774</v>
      </c>
      <c r="V319" s="5" t="s">
        <v>84</v>
      </c>
    </row>
    <row r="320" customFormat="false" ht="22.35" hidden="false" customHeight="false" outlineLevel="0" collapsed="false">
      <c r="A320" s="5" t="s">
        <v>3012</v>
      </c>
      <c r="B320" s="5" t="s">
        <v>3013</v>
      </c>
      <c r="C320" s="5" t="s">
        <v>3014</v>
      </c>
      <c r="D320" s="5" t="s">
        <v>3015</v>
      </c>
      <c r="E320" s="5" t="s">
        <v>3016</v>
      </c>
      <c r="F320" s="5" t="s">
        <v>3017</v>
      </c>
      <c r="G320" s="5" t="s">
        <v>2221</v>
      </c>
      <c r="H320" s="5" t="s">
        <v>2222</v>
      </c>
      <c r="I320" s="5" t="s">
        <v>568</v>
      </c>
      <c r="J320" s="5" t="s">
        <v>3018</v>
      </c>
      <c r="K320" s="5" t="s">
        <v>3019</v>
      </c>
      <c r="L320" s="5" t="s">
        <v>51</v>
      </c>
      <c r="M320" s="5" t="s">
        <v>79</v>
      </c>
      <c r="N320" s="5" t="s">
        <v>1548</v>
      </c>
      <c r="O320" s="5" t="s">
        <v>1548</v>
      </c>
      <c r="P320" s="5" t="n">
        <v>1</v>
      </c>
      <c r="Q320" s="5" t="s">
        <v>3020</v>
      </c>
      <c r="R320" s="5" t="s">
        <v>3021</v>
      </c>
      <c r="S320" s="5" t="s">
        <v>492</v>
      </c>
      <c r="T320" s="5" t="s">
        <v>84</v>
      </c>
      <c r="U320" s="5" t="s">
        <v>58</v>
      </c>
      <c r="V320" s="5" t="s">
        <v>84</v>
      </c>
    </row>
    <row r="321" customFormat="false" ht="22.35" hidden="false" customHeight="false" outlineLevel="0" collapsed="false">
      <c r="A321" s="5" t="s">
        <v>3022</v>
      </c>
      <c r="B321" s="5" t="s">
        <v>3013</v>
      </c>
      <c r="C321" s="5" t="s">
        <v>3014</v>
      </c>
      <c r="D321" s="5" t="s">
        <v>3023</v>
      </c>
      <c r="E321" s="5" t="s">
        <v>3024</v>
      </c>
      <c r="F321" s="5" t="s">
        <v>3025</v>
      </c>
      <c r="G321" s="5" t="s">
        <v>2221</v>
      </c>
      <c r="H321" s="5" t="s">
        <v>2959</v>
      </c>
      <c r="I321" s="5" t="s">
        <v>76</v>
      </c>
      <c r="J321" s="5" t="s">
        <v>3026</v>
      </c>
      <c r="K321" s="5" t="s">
        <v>3027</v>
      </c>
      <c r="L321" s="5" t="s">
        <v>51</v>
      </c>
      <c r="M321" s="5" t="s">
        <v>2224</v>
      </c>
      <c r="N321" s="5" t="s">
        <v>53</v>
      </c>
      <c r="O321" s="5" t="s">
        <v>1548</v>
      </c>
      <c r="P321" s="5" t="n">
        <v>1</v>
      </c>
      <c r="Q321" s="5" t="s">
        <v>3028</v>
      </c>
      <c r="R321" s="5" t="s">
        <v>3029</v>
      </c>
      <c r="S321" s="5" t="s">
        <v>492</v>
      </c>
      <c r="T321" s="5" t="s">
        <v>51</v>
      </c>
      <c r="U321" s="5" t="s">
        <v>532</v>
      </c>
      <c r="V321" s="5" t="s">
        <v>84</v>
      </c>
    </row>
    <row r="322" customFormat="false" ht="22.35" hidden="false" customHeight="false" outlineLevel="0" collapsed="false">
      <c r="A322" s="5" t="s">
        <v>3030</v>
      </c>
      <c r="B322" s="5" t="s">
        <v>3013</v>
      </c>
      <c r="C322" s="5" t="s">
        <v>3014</v>
      </c>
      <c r="D322" s="5" t="s">
        <v>3031</v>
      </c>
      <c r="E322" s="5" t="s">
        <v>3032</v>
      </c>
      <c r="F322" s="5" t="s">
        <v>3033</v>
      </c>
      <c r="G322" s="5" t="s">
        <v>2221</v>
      </c>
      <c r="H322" s="5" t="s">
        <v>2959</v>
      </c>
      <c r="I322" s="5" t="s">
        <v>693</v>
      </c>
      <c r="J322" s="5" t="s">
        <v>3034</v>
      </c>
      <c r="K322" s="5" t="s">
        <v>3027</v>
      </c>
      <c r="L322" s="5" t="s">
        <v>51</v>
      </c>
      <c r="M322" s="5" t="s">
        <v>2224</v>
      </c>
      <c r="N322" s="5" t="s">
        <v>53</v>
      </c>
      <c r="O322" s="5" t="s">
        <v>3035</v>
      </c>
      <c r="P322" s="5" t="n">
        <v>1</v>
      </c>
      <c r="Q322" s="5" t="s">
        <v>3036</v>
      </c>
      <c r="R322" s="5" t="s">
        <v>3037</v>
      </c>
      <c r="S322" s="5" t="s">
        <v>492</v>
      </c>
      <c r="T322" s="5" t="s">
        <v>51</v>
      </c>
      <c r="U322" s="5" t="s">
        <v>532</v>
      </c>
      <c r="V322" s="5" t="s">
        <v>84</v>
      </c>
    </row>
    <row r="323" customFormat="false" ht="22.35" hidden="false" customHeight="false" outlineLevel="0" collapsed="false">
      <c r="A323" s="5" t="s">
        <v>3038</v>
      </c>
      <c r="B323" s="5" t="s">
        <v>3039</v>
      </c>
      <c r="C323" s="5" t="s">
        <v>3040</v>
      </c>
      <c r="D323" s="5" t="s">
        <v>3041</v>
      </c>
      <c r="E323" s="5" t="s">
        <v>3042</v>
      </c>
      <c r="F323" s="5" t="s">
        <v>3043</v>
      </c>
      <c r="G323" s="5" t="s">
        <v>2473</v>
      </c>
      <c r="H323" s="5" t="s">
        <v>2951</v>
      </c>
      <c r="I323" s="5" t="s">
        <v>3044</v>
      </c>
      <c r="J323" s="5" t="s">
        <v>3045</v>
      </c>
      <c r="K323" s="5" t="s">
        <v>642</v>
      </c>
      <c r="L323" s="5" t="s">
        <v>51</v>
      </c>
      <c r="M323" s="5" t="s">
        <v>52</v>
      </c>
      <c r="N323" s="5" t="s">
        <v>53</v>
      </c>
      <c r="O323" s="5" t="s">
        <v>3046</v>
      </c>
      <c r="P323" s="5" t="n">
        <v>1</v>
      </c>
      <c r="Q323" s="5" t="s">
        <v>3047</v>
      </c>
      <c r="R323" s="5" t="s">
        <v>3048</v>
      </c>
      <c r="S323" s="5" t="s">
        <v>3049</v>
      </c>
      <c r="T323" s="5" t="s">
        <v>84</v>
      </c>
      <c r="U323" s="5" t="s">
        <v>58</v>
      </c>
      <c r="V323" s="5" t="s">
        <v>51</v>
      </c>
    </row>
    <row r="324" customFormat="false" ht="22.35" hidden="false" customHeight="false" outlineLevel="0" collapsed="false">
      <c r="A324" s="5" t="s">
        <v>3050</v>
      </c>
      <c r="B324" s="5" t="s">
        <v>3039</v>
      </c>
      <c r="C324" s="5" t="s">
        <v>3040</v>
      </c>
      <c r="D324" s="5" t="s">
        <v>3051</v>
      </c>
      <c r="E324" s="5" t="s">
        <v>3052</v>
      </c>
      <c r="F324" s="5" t="s">
        <v>3053</v>
      </c>
      <c r="G324" s="5" t="s">
        <v>2473</v>
      </c>
      <c r="H324" s="5" t="s">
        <v>3038</v>
      </c>
      <c r="I324" s="5" t="s">
        <v>3044</v>
      </c>
      <c r="J324" s="5" t="s">
        <v>3054</v>
      </c>
      <c r="K324" s="5" t="s">
        <v>3055</v>
      </c>
      <c r="L324" s="5" t="s">
        <v>51</v>
      </c>
      <c r="M324" s="5" t="s">
        <v>79</v>
      </c>
      <c r="N324" s="5" t="s">
        <v>53</v>
      </c>
      <c r="O324" s="5" t="s">
        <v>67</v>
      </c>
      <c r="P324" s="5" t="n">
        <v>1</v>
      </c>
      <c r="Q324" s="5" t="s">
        <v>401</v>
      </c>
      <c r="R324" s="5" t="s">
        <v>3056</v>
      </c>
      <c r="S324" s="5" t="s">
        <v>3057</v>
      </c>
      <c r="T324" s="5" t="s">
        <v>84</v>
      </c>
      <c r="U324" s="5" t="s">
        <v>58</v>
      </c>
      <c r="V324" s="5" t="s">
        <v>51</v>
      </c>
    </row>
    <row r="325" customFormat="false" ht="22.35" hidden="false" customHeight="false" outlineLevel="0" collapsed="false">
      <c r="A325" s="5" t="s">
        <v>3058</v>
      </c>
      <c r="B325" s="5" t="s">
        <v>3039</v>
      </c>
      <c r="C325" s="5" t="s">
        <v>3040</v>
      </c>
      <c r="D325" s="5" t="s">
        <v>3059</v>
      </c>
      <c r="E325" s="5" t="s">
        <v>3060</v>
      </c>
      <c r="F325" s="5" t="s">
        <v>3061</v>
      </c>
      <c r="G325" s="5" t="s">
        <v>2473</v>
      </c>
      <c r="H325" s="5" t="s">
        <v>3062</v>
      </c>
      <c r="I325" s="5" t="s">
        <v>196</v>
      </c>
      <c r="J325" s="5" t="s">
        <v>3063</v>
      </c>
      <c r="K325" s="5" t="s">
        <v>3064</v>
      </c>
      <c r="L325" s="5" t="s">
        <v>51</v>
      </c>
      <c r="M325" s="5" t="s">
        <v>79</v>
      </c>
      <c r="N325" s="5" t="s">
        <v>53</v>
      </c>
      <c r="O325" s="5" t="s">
        <v>67</v>
      </c>
      <c r="P325" s="5" t="n">
        <v>1</v>
      </c>
      <c r="Q325" s="5" t="s">
        <v>3065</v>
      </c>
      <c r="R325" s="5" t="s">
        <v>3066</v>
      </c>
      <c r="S325" s="5" t="s">
        <v>3067</v>
      </c>
      <c r="T325" s="5" t="s">
        <v>84</v>
      </c>
      <c r="U325" s="5" t="s">
        <v>58</v>
      </c>
      <c r="V325" s="5" t="s">
        <v>51</v>
      </c>
    </row>
    <row r="326" customFormat="false" ht="22.35" hidden="false" customHeight="false" outlineLevel="0" collapsed="false">
      <c r="A326" s="5" t="s">
        <v>3068</v>
      </c>
      <c r="B326" s="5" t="s">
        <v>3039</v>
      </c>
      <c r="C326" s="5" t="s">
        <v>3040</v>
      </c>
      <c r="D326" s="5" t="s">
        <v>3069</v>
      </c>
      <c r="E326" s="5" t="s">
        <v>3070</v>
      </c>
      <c r="F326" s="5" t="s">
        <v>3071</v>
      </c>
      <c r="G326" s="5" t="s">
        <v>2473</v>
      </c>
      <c r="H326" s="5" t="s">
        <v>3058</v>
      </c>
      <c r="I326" s="5" t="s">
        <v>196</v>
      </c>
      <c r="J326" s="5" t="s">
        <v>3072</v>
      </c>
      <c r="K326" s="5" t="s">
        <v>3073</v>
      </c>
      <c r="L326" s="5" t="s">
        <v>51</v>
      </c>
      <c r="M326" s="5" t="s">
        <v>79</v>
      </c>
      <c r="N326" s="5" t="s">
        <v>53</v>
      </c>
      <c r="O326" s="5" t="s">
        <v>67</v>
      </c>
      <c r="P326" s="5" t="n">
        <v>1</v>
      </c>
      <c r="Q326" s="5" t="s">
        <v>3074</v>
      </c>
      <c r="R326" s="5" t="s">
        <v>3075</v>
      </c>
      <c r="S326" s="5" t="s">
        <v>3076</v>
      </c>
      <c r="T326" s="5" t="s">
        <v>84</v>
      </c>
      <c r="U326" s="5" t="s">
        <v>58</v>
      </c>
      <c r="V326" s="5" t="s">
        <v>51</v>
      </c>
    </row>
    <row r="327" customFormat="false" ht="22.35" hidden="false" customHeight="false" outlineLevel="0" collapsed="false">
      <c r="A327" s="5" t="s">
        <v>3077</v>
      </c>
      <c r="B327" s="5" t="s">
        <v>3039</v>
      </c>
      <c r="C327" s="5" t="s">
        <v>3040</v>
      </c>
      <c r="D327" s="5" t="s">
        <v>3078</v>
      </c>
      <c r="E327" s="5" t="s">
        <v>3079</v>
      </c>
      <c r="F327" s="5" t="s">
        <v>3080</v>
      </c>
      <c r="G327" s="5" t="s">
        <v>2473</v>
      </c>
      <c r="H327" s="5" t="s">
        <v>2951</v>
      </c>
      <c r="I327" s="5" t="s">
        <v>48</v>
      </c>
      <c r="J327" s="5" t="s">
        <v>3081</v>
      </c>
      <c r="K327" s="5" t="s">
        <v>3082</v>
      </c>
      <c r="L327" s="5" t="s">
        <v>663</v>
      </c>
      <c r="M327" s="5" t="s">
        <v>52</v>
      </c>
      <c r="N327" s="5" t="s">
        <v>53</v>
      </c>
      <c r="O327" s="5" t="s">
        <v>105</v>
      </c>
      <c r="P327" s="5" t="n">
        <v>1</v>
      </c>
      <c r="Q327" s="5" t="s">
        <v>3083</v>
      </c>
      <c r="R327" s="5" t="s">
        <v>3084</v>
      </c>
      <c r="S327" s="5" t="s">
        <v>3085</v>
      </c>
      <c r="T327" s="5" t="s">
        <v>84</v>
      </c>
      <c r="U327" s="5" t="s">
        <v>58</v>
      </c>
      <c r="V327" s="5" t="s">
        <v>51</v>
      </c>
    </row>
    <row r="328" customFormat="false" ht="22.35" hidden="false" customHeight="false" outlineLevel="0" collapsed="false">
      <c r="A328" s="5" t="s">
        <v>3086</v>
      </c>
      <c r="B328" s="5" t="s">
        <v>3039</v>
      </c>
      <c r="C328" s="5" t="s">
        <v>3040</v>
      </c>
      <c r="D328" s="5" t="s">
        <v>3087</v>
      </c>
      <c r="E328" s="5" t="s">
        <v>3088</v>
      </c>
      <c r="F328" s="5" t="s">
        <v>3089</v>
      </c>
      <c r="G328" s="5" t="s">
        <v>2473</v>
      </c>
      <c r="H328" s="5" t="s">
        <v>3068</v>
      </c>
      <c r="I328" s="5" t="s">
        <v>196</v>
      </c>
      <c r="J328" s="5" t="s">
        <v>3090</v>
      </c>
      <c r="K328" s="5" t="s">
        <v>3091</v>
      </c>
      <c r="L328" s="5" t="s">
        <v>51</v>
      </c>
      <c r="M328" s="5" t="s">
        <v>79</v>
      </c>
      <c r="N328" s="5" t="s">
        <v>53</v>
      </c>
      <c r="O328" s="5" t="s">
        <v>389</v>
      </c>
      <c r="P328" s="5" t="n">
        <v>1</v>
      </c>
      <c r="Q328" s="5" t="s">
        <v>3092</v>
      </c>
      <c r="R328" s="5" t="s">
        <v>3093</v>
      </c>
      <c r="S328" s="5" t="s">
        <v>2604</v>
      </c>
      <c r="T328" s="5" t="s">
        <v>84</v>
      </c>
      <c r="U328" s="5" t="s">
        <v>58</v>
      </c>
      <c r="V328" s="5" t="s">
        <v>51</v>
      </c>
    </row>
    <row r="329" customFormat="false" ht="32.8" hidden="false" customHeight="false" outlineLevel="0" collapsed="false">
      <c r="A329" s="5" t="s">
        <v>3094</v>
      </c>
      <c r="B329" s="5" t="s">
        <v>3095</v>
      </c>
      <c r="C329" s="5" t="s">
        <v>3096</v>
      </c>
      <c r="D329" s="5" t="s">
        <v>3097</v>
      </c>
      <c r="E329" s="5" t="s">
        <v>3098</v>
      </c>
      <c r="F329" s="5" t="s">
        <v>3099</v>
      </c>
      <c r="G329" s="5" t="s">
        <v>693</v>
      </c>
      <c r="H329" s="5" t="s">
        <v>1233</v>
      </c>
      <c r="I329" s="5" t="s">
        <v>1905</v>
      </c>
      <c r="J329" s="5" t="s">
        <v>3100</v>
      </c>
      <c r="K329" s="5" t="s">
        <v>3101</v>
      </c>
      <c r="L329" s="5" t="s">
        <v>84</v>
      </c>
      <c r="M329" s="5" t="s">
        <v>79</v>
      </c>
      <c r="N329" s="5" t="s">
        <v>53</v>
      </c>
      <c r="O329" s="5" t="s">
        <v>3102</v>
      </c>
      <c r="P329" s="5" t="n">
        <v>1</v>
      </c>
      <c r="Q329" s="5" t="s">
        <v>3103</v>
      </c>
      <c r="R329" s="5" t="s">
        <v>3104</v>
      </c>
      <c r="S329" s="5" t="s">
        <v>1852</v>
      </c>
      <c r="T329" s="5" t="s">
        <v>84</v>
      </c>
      <c r="U329" s="5" t="s">
        <v>58</v>
      </c>
      <c r="V329" s="5" t="s">
        <v>84</v>
      </c>
    </row>
    <row r="330" customFormat="false" ht="22.35" hidden="false" customHeight="false" outlineLevel="0" collapsed="false">
      <c r="A330" s="5" t="s">
        <v>3105</v>
      </c>
      <c r="B330" s="5" t="s">
        <v>3095</v>
      </c>
      <c r="C330" s="5" t="s">
        <v>3096</v>
      </c>
      <c r="D330" s="5" t="s">
        <v>3106</v>
      </c>
      <c r="E330" s="5" t="s">
        <v>3107</v>
      </c>
      <c r="F330" s="5" t="s">
        <v>3108</v>
      </c>
      <c r="G330" s="5" t="s">
        <v>693</v>
      </c>
      <c r="H330" s="5" t="s">
        <v>886</v>
      </c>
      <c r="I330" s="5" t="s">
        <v>1905</v>
      </c>
      <c r="J330" s="5" t="s">
        <v>3109</v>
      </c>
      <c r="K330" s="5" t="s">
        <v>3110</v>
      </c>
      <c r="L330" s="5" t="s">
        <v>84</v>
      </c>
      <c r="M330" s="5" t="s">
        <v>52</v>
      </c>
      <c r="N330" s="5" t="s">
        <v>53</v>
      </c>
      <c r="O330" s="5" t="s">
        <v>3111</v>
      </c>
      <c r="P330" s="5" t="n">
        <v>1</v>
      </c>
      <c r="Q330" s="5" t="s">
        <v>3112</v>
      </c>
      <c r="R330" s="5" t="s">
        <v>3113</v>
      </c>
      <c r="S330" s="5" t="s">
        <v>3114</v>
      </c>
      <c r="T330" s="5" t="s">
        <v>180</v>
      </c>
      <c r="U330" s="5" t="s">
        <v>58</v>
      </c>
      <c r="V330" s="5" t="s">
        <v>51</v>
      </c>
    </row>
    <row r="331" customFormat="false" ht="22.35" hidden="false" customHeight="false" outlineLevel="0" collapsed="false">
      <c r="A331" s="5" t="s">
        <v>3115</v>
      </c>
      <c r="B331" s="5" t="s">
        <v>3095</v>
      </c>
      <c r="C331" s="5" t="s">
        <v>3096</v>
      </c>
      <c r="D331" s="5" t="s">
        <v>3116</v>
      </c>
      <c r="E331" s="5" t="s">
        <v>3117</v>
      </c>
      <c r="F331" s="5" t="s">
        <v>1858</v>
      </c>
      <c r="G331" s="5" t="s">
        <v>693</v>
      </c>
      <c r="H331" s="5" t="s">
        <v>1296</v>
      </c>
      <c r="I331" s="5" t="s">
        <v>1905</v>
      </c>
      <c r="J331" s="5" t="s">
        <v>3118</v>
      </c>
      <c r="K331" s="5" t="s">
        <v>3110</v>
      </c>
      <c r="L331" s="5" t="s">
        <v>84</v>
      </c>
      <c r="M331" s="5" t="s">
        <v>408</v>
      </c>
      <c r="N331" s="5" t="s">
        <v>53</v>
      </c>
      <c r="O331" s="5" t="s">
        <v>389</v>
      </c>
      <c r="P331" s="5" t="n">
        <v>1</v>
      </c>
      <c r="Q331" s="5" t="s">
        <v>3119</v>
      </c>
      <c r="R331" s="5" t="s">
        <v>3120</v>
      </c>
      <c r="S331" s="5" t="s">
        <v>3121</v>
      </c>
      <c r="T331" s="5" t="s">
        <v>180</v>
      </c>
      <c r="U331" s="5" t="s">
        <v>58</v>
      </c>
      <c r="V331" s="5" t="s">
        <v>84</v>
      </c>
    </row>
    <row r="332" customFormat="false" ht="32.8" hidden="false" customHeight="false" outlineLevel="0" collapsed="false">
      <c r="A332" s="5" t="s">
        <v>1849</v>
      </c>
      <c r="B332" s="5" t="s">
        <v>3095</v>
      </c>
      <c r="C332" s="5" t="s">
        <v>3096</v>
      </c>
      <c r="D332" s="5" t="s">
        <v>3122</v>
      </c>
      <c r="E332" s="5" t="s">
        <v>3123</v>
      </c>
      <c r="F332" s="5" t="s">
        <v>3124</v>
      </c>
      <c r="G332" s="5" t="s">
        <v>693</v>
      </c>
      <c r="H332" s="5" t="s">
        <v>3125</v>
      </c>
      <c r="I332" s="5" t="s">
        <v>1905</v>
      </c>
      <c r="J332" s="5" t="s">
        <v>3126</v>
      </c>
      <c r="K332" s="5" t="s">
        <v>3127</v>
      </c>
      <c r="L332" s="5" t="s">
        <v>84</v>
      </c>
      <c r="M332" s="5" t="s">
        <v>408</v>
      </c>
      <c r="N332" s="5" t="s">
        <v>53</v>
      </c>
      <c r="O332" s="5" t="s">
        <v>67</v>
      </c>
      <c r="P332" s="5" t="n">
        <v>1</v>
      </c>
      <c r="Q332" s="5" t="s">
        <v>3128</v>
      </c>
      <c r="R332" s="5" t="s">
        <v>3129</v>
      </c>
      <c r="S332" s="5" t="s">
        <v>1852</v>
      </c>
      <c r="T332" s="5" t="s">
        <v>180</v>
      </c>
      <c r="U332" s="5" t="s">
        <v>58</v>
      </c>
      <c r="V332" s="5" t="s">
        <v>84</v>
      </c>
    </row>
    <row r="333" customFormat="false" ht="22.35" hidden="false" customHeight="false" outlineLevel="0" collapsed="false">
      <c r="A333" s="5" t="s">
        <v>3130</v>
      </c>
      <c r="B333" s="5" t="s">
        <v>3095</v>
      </c>
      <c r="C333" s="5" t="s">
        <v>3096</v>
      </c>
      <c r="D333" s="5" t="s">
        <v>3131</v>
      </c>
      <c r="E333" s="5" t="s">
        <v>3132</v>
      </c>
      <c r="F333" s="5" t="s">
        <v>3133</v>
      </c>
      <c r="G333" s="5" t="s">
        <v>693</v>
      </c>
      <c r="H333" s="5" t="s">
        <v>886</v>
      </c>
      <c r="I333" s="5" t="s">
        <v>1905</v>
      </c>
      <c r="J333" s="5" t="s">
        <v>3134</v>
      </c>
      <c r="K333" s="5" t="s">
        <v>1647</v>
      </c>
      <c r="L333" s="5" t="s">
        <v>84</v>
      </c>
      <c r="M333" s="5" t="s">
        <v>79</v>
      </c>
      <c r="N333" s="5" t="s">
        <v>53</v>
      </c>
      <c r="O333" s="5" t="s">
        <v>2655</v>
      </c>
      <c r="P333" s="5" t="n">
        <v>1</v>
      </c>
      <c r="Q333" s="5" t="s">
        <v>3135</v>
      </c>
      <c r="R333" s="5" t="s">
        <v>3136</v>
      </c>
      <c r="S333" s="5" t="s">
        <v>3121</v>
      </c>
      <c r="T333" s="5" t="s">
        <v>84</v>
      </c>
      <c r="U333" s="5" t="s">
        <v>58</v>
      </c>
      <c r="V333" s="5" t="s">
        <v>84</v>
      </c>
    </row>
    <row r="334" customFormat="false" ht="22.35" hidden="false" customHeight="false" outlineLevel="0" collapsed="false">
      <c r="A334" s="5" t="s">
        <v>3137</v>
      </c>
      <c r="B334" s="5" t="s">
        <v>3138</v>
      </c>
      <c r="C334" s="5" t="s">
        <v>3139</v>
      </c>
      <c r="D334" s="5" t="s">
        <v>3140</v>
      </c>
      <c r="E334" s="5" t="s">
        <v>3141</v>
      </c>
      <c r="F334" s="5" t="s">
        <v>3142</v>
      </c>
      <c r="G334" s="5" t="s">
        <v>1470</v>
      </c>
      <c r="H334" s="5" t="s">
        <v>1466</v>
      </c>
      <c r="I334" s="5" t="s">
        <v>578</v>
      </c>
      <c r="J334" s="5" t="s">
        <v>3143</v>
      </c>
      <c r="K334" s="5" t="s">
        <v>685</v>
      </c>
      <c r="L334" s="5" t="s">
        <v>84</v>
      </c>
      <c r="M334" s="5" t="s">
        <v>79</v>
      </c>
      <c r="N334" s="5" t="s">
        <v>53</v>
      </c>
      <c r="O334" s="5" t="s">
        <v>67</v>
      </c>
      <c r="P334" s="5" t="n">
        <v>1</v>
      </c>
      <c r="Q334" s="5" t="s">
        <v>3144</v>
      </c>
      <c r="R334" s="5" t="s">
        <v>3145</v>
      </c>
      <c r="S334" s="5" t="s">
        <v>1424</v>
      </c>
      <c r="T334" s="5" t="s">
        <v>84</v>
      </c>
      <c r="U334" s="5" t="s">
        <v>58</v>
      </c>
      <c r="V334" s="5" t="s">
        <v>84</v>
      </c>
    </row>
    <row r="335" customFormat="false" ht="22.35" hidden="false" customHeight="false" outlineLevel="0" collapsed="false">
      <c r="A335" s="5" t="s">
        <v>3146</v>
      </c>
      <c r="B335" s="5" t="s">
        <v>3138</v>
      </c>
      <c r="C335" s="5" t="s">
        <v>3139</v>
      </c>
      <c r="D335" s="5" t="s">
        <v>3147</v>
      </c>
      <c r="E335" s="5" t="s">
        <v>3148</v>
      </c>
      <c r="F335" s="5" t="s">
        <v>3149</v>
      </c>
      <c r="G335" s="5" t="s">
        <v>1470</v>
      </c>
      <c r="H335" s="5" t="s">
        <v>3137</v>
      </c>
      <c r="I335" s="5" t="s">
        <v>578</v>
      </c>
      <c r="J335" s="5" t="s">
        <v>3150</v>
      </c>
      <c r="K335" s="5" t="s">
        <v>3151</v>
      </c>
      <c r="L335" s="5" t="s">
        <v>51</v>
      </c>
      <c r="M335" s="5" t="s">
        <v>52</v>
      </c>
      <c r="N335" s="5" t="s">
        <v>53</v>
      </c>
      <c r="O335" s="5" t="s">
        <v>67</v>
      </c>
      <c r="P335" s="5" t="n">
        <v>1</v>
      </c>
      <c r="Q335" s="5" t="s">
        <v>3152</v>
      </c>
      <c r="R335" s="5" t="s">
        <v>3153</v>
      </c>
      <c r="S335" s="5" t="s">
        <v>3154</v>
      </c>
      <c r="T335" s="5" t="s">
        <v>180</v>
      </c>
      <c r="U335" s="5" t="s">
        <v>532</v>
      </c>
      <c r="V335" s="5" t="s">
        <v>84</v>
      </c>
    </row>
    <row r="336" customFormat="false" ht="22.35" hidden="false" customHeight="false" outlineLevel="0" collapsed="false">
      <c r="A336" s="5" t="s">
        <v>3155</v>
      </c>
      <c r="B336" s="5" t="s">
        <v>3138</v>
      </c>
      <c r="C336" s="5" t="s">
        <v>3139</v>
      </c>
      <c r="D336" s="5" t="s">
        <v>3156</v>
      </c>
      <c r="E336" s="5" t="s">
        <v>3157</v>
      </c>
      <c r="F336" s="5" t="s">
        <v>3158</v>
      </c>
      <c r="G336" s="5" t="s">
        <v>1470</v>
      </c>
      <c r="H336" s="5" t="s">
        <v>3137</v>
      </c>
      <c r="I336" s="5" t="s">
        <v>578</v>
      </c>
      <c r="J336" s="5" t="s">
        <v>3159</v>
      </c>
      <c r="K336" s="5" t="s">
        <v>2185</v>
      </c>
      <c r="L336" s="5" t="s">
        <v>51</v>
      </c>
      <c r="M336" s="5" t="s">
        <v>52</v>
      </c>
      <c r="N336" s="5" t="s">
        <v>164</v>
      </c>
      <c r="O336" s="5" t="s">
        <v>238</v>
      </c>
      <c r="P336" s="5" t="n">
        <v>2</v>
      </c>
      <c r="Q336" s="5" t="s">
        <v>3160</v>
      </c>
      <c r="R336" s="5" t="s">
        <v>3161</v>
      </c>
      <c r="S336" s="5" t="s">
        <v>3162</v>
      </c>
      <c r="T336" s="5" t="s">
        <v>180</v>
      </c>
      <c r="U336" s="5" t="s">
        <v>58</v>
      </c>
      <c r="V336" s="5" t="s">
        <v>84</v>
      </c>
    </row>
    <row r="337" customFormat="false" ht="22.35" hidden="false" customHeight="false" outlineLevel="0" collapsed="false">
      <c r="A337" s="5" t="s">
        <v>3163</v>
      </c>
      <c r="B337" s="5" t="s">
        <v>3164</v>
      </c>
      <c r="C337" s="5" t="s">
        <v>3165</v>
      </c>
      <c r="D337" s="5" t="s">
        <v>3166</v>
      </c>
      <c r="E337" s="5" t="s">
        <v>3167</v>
      </c>
      <c r="F337" s="5" t="s">
        <v>3168</v>
      </c>
      <c r="G337" s="5" t="s">
        <v>248</v>
      </c>
      <c r="H337" s="5" t="s">
        <v>263</v>
      </c>
      <c r="I337" s="5" t="s">
        <v>196</v>
      </c>
      <c r="J337" s="5" t="s">
        <v>3169</v>
      </c>
      <c r="K337" s="5" t="s">
        <v>685</v>
      </c>
      <c r="L337" s="5" t="s">
        <v>84</v>
      </c>
      <c r="M337" s="5" t="s">
        <v>408</v>
      </c>
      <c r="N337" s="5" t="s">
        <v>53</v>
      </c>
      <c r="O337" s="5" t="s">
        <v>67</v>
      </c>
      <c r="P337" s="5" t="n">
        <v>1</v>
      </c>
      <c r="Q337" s="5" t="s">
        <v>3170</v>
      </c>
      <c r="R337" s="5" t="s">
        <v>3171</v>
      </c>
      <c r="S337" s="5" t="s">
        <v>3172</v>
      </c>
      <c r="T337" s="5" t="s">
        <v>180</v>
      </c>
      <c r="U337" s="5" t="s">
        <v>774</v>
      </c>
      <c r="V337" s="5" t="s">
        <v>51</v>
      </c>
    </row>
    <row r="338" customFormat="false" ht="22.35" hidden="false" customHeight="false" outlineLevel="0" collapsed="false">
      <c r="A338" s="5" t="s">
        <v>3173</v>
      </c>
      <c r="B338" s="5" t="s">
        <v>3164</v>
      </c>
      <c r="C338" s="5" t="s">
        <v>3165</v>
      </c>
      <c r="D338" s="5" t="s">
        <v>3174</v>
      </c>
      <c r="E338" s="5" t="s">
        <v>3175</v>
      </c>
      <c r="F338" s="5" t="s">
        <v>3176</v>
      </c>
      <c r="G338" s="5" t="s">
        <v>1113</v>
      </c>
      <c r="H338" s="5" t="s">
        <v>3163</v>
      </c>
      <c r="I338" s="5" t="s">
        <v>1115</v>
      </c>
      <c r="J338" s="5" t="s">
        <v>3177</v>
      </c>
      <c r="K338" s="5" t="s">
        <v>1217</v>
      </c>
      <c r="L338" s="5" t="s">
        <v>51</v>
      </c>
      <c r="M338" s="5" t="s">
        <v>408</v>
      </c>
      <c r="N338" s="5" t="s">
        <v>164</v>
      </c>
      <c r="O338" s="5" t="s">
        <v>771</v>
      </c>
      <c r="P338" s="5" t="n">
        <v>7</v>
      </c>
      <c r="Q338" s="5" t="s">
        <v>3178</v>
      </c>
      <c r="R338" s="5" t="s">
        <v>3179</v>
      </c>
      <c r="S338" s="5" t="s">
        <v>3180</v>
      </c>
      <c r="T338" s="5" t="s">
        <v>180</v>
      </c>
      <c r="U338" s="5" t="s">
        <v>774</v>
      </c>
      <c r="V338" s="5" t="s">
        <v>84</v>
      </c>
    </row>
    <row r="339" customFormat="false" ht="22.35" hidden="false" customHeight="false" outlineLevel="0" collapsed="false">
      <c r="A339" s="5" t="s">
        <v>3181</v>
      </c>
      <c r="B339" s="5" t="s">
        <v>3164</v>
      </c>
      <c r="C339" s="5" t="s">
        <v>3165</v>
      </c>
      <c r="D339" s="5" t="s">
        <v>3182</v>
      </c>
      <c r="E339" s="5" t="s">
        <v>3183</v>
      </c>
      <c r="F339" s="5" t="s">
        <v>2418</v>
      </c>
      <c r="G339" s="5" t="s">
        <v>1664</v>
      </c>
      <c r="H339" s="5" t="s">
        <v>3173</v>
      </c>
      <c r="I339" s="5" t="s">
        <v>693</v>
      </c>
      <c r="J339" s="5" t="s">
        <v>3184</v>
      </c>
      <c r="K339" s="5" t="s">
        <v>2139</v>
      </c>
      <c r="L339" s="5" t="s">
        <v>84</v>
      </c>
      <c r="M339" s="5" t="s">
        <v>408</v>
      </c>
      <c r="N339" s="5" t="s">
        <v>53</v>
      </c>
      <c r="O339" s="5" t="s">
        <v>238</v>
      </c>
      <c r="P339" s="5" t="n">
        <v>2</v>
      </c>
      <c r="Q339" s="5" t="s">
        <v>904</v>
      </c>
      <c r="R339" s="5" t="s">
        <v>3185</v>
      </c>
      <c r="S339" s="5" t="s">
        <v>3186</v>
      </c>
      <c r="T339" s="5" t="s">
        <v>180</v>
      </c>
      <c r="U339" s="5" t="s">
        <v>774</v>
      </c>
      <c r="V339" s="5" t="s">
        <v>51</v>
      </c>
    </row>
    <row r="340" customFormat="false" ht="22.35" hidden="false" customHeight="false" outlineLevel="0" collapsed="false">
      <c r="A340" s="5" t="s">
        <v>3187</v>
      </c>
      <c r="B340" s="5" t="s">
        <v>3188</v>
      </c>
      <c r="C340" s="5" t="s">
        <v>3189</v>
      </c>
      <c r="D340" s="5" t="s">
        <v>3190</v>
      </c>
      <c r="E340" s="5" t="s">
        <v>3191</v>
      </c>
      <c r="F340" s="5" t="s">
        <v>3192</v>
      </c>
      <c r="G340" s="5" t="s">
        <v>620</v>
      </c>
      <c r="H340" s="5" t="s">
        <v>472</v>
      </c>
      <c r="I340" s="5" t="s">
        <v>196</v>
      </c>
      <c r="J340" s="5" t="s">
        <v>3193</v>
      </c>
      <c r="K340" s="5" t="s">
        <v>370</v>
      </c>
      <c r="L340" s="5" t="s">
        <v>51</v>
      </c>
      <c r="M340" s="5" t="s">
        <v>79</v>
      </c>
      <c r="N340" s="5" t="s">
        <v>53</v>
      </c>
      <c r="O340" s="5" t="s">
        <v>2985</v>
      </c>
      <c r="P340" s="5" t="n">
        <v>1</v>
      </c>
      <c r="Q340" s="5" t="s">
        <v>3194</v>
      </c>
      <c r="R340" s="5" t="s">
        <v>3195</v>
      </c>
      <c r="S340" s="5" t="s">
        <v>3196</v>
      </c>
      <c r="T340" s="5" t="s">
        <v>84</v>
      </c>
      <c r="U340" s="5" t="s">
        <v>58</v>
      </c>
      <c r="V340" s="5" t="s">
        <v>51</v>
      </c>
    </row>
    <row r="341" customFormat="false" ht="22.35" hidden="false" customHeight="false" outlineLevel="0" collapsed="false">
      <c r="A341" s="5" t="s">
        <v>3197</v>
      </c>
      <c r="B341" s="5" t="s">
        <v>3188</v>
      </c>
      <c r="C341" s="5" t="s">
        <v>3189</v>
      </c>
      <c r="D341" s="5" t="s">
        <v>3198</v>
      </c>
      <c r="E341" s="5" t="s">
        <v>3199</v>
      </c>
      <c r="F341" s="5" t="s">
        <v>3200</v>
      </c>
      <c r="G341" s="5" t="s">
        <v>620</v>
      </c>
      <c r="H341" s="5" t="s">
        <v>3201</v>
      </c>
      <c r="I341" s="5" t="s">
        <v>196</v>
      </c>
      <c r="J341" s="5" t="s">
        <v>3202</v>
      </c>
      <c r="K341" s="5" t="s">
        <v>2398</v>
      </c>
      <c r="L341" s="5" t="s">
        <v>51</v>
      </c>
      <c r="M341" s="5" t="s">
        <v>408</v>
      </c>
      <c r="N341" s="5" t="s">
        <v>53</v>
      </c>
      <c r="O341" s="5" t="s">
        <v>2993</v>
      </c>
      <c r="P341" s="5" t="n">
        <v>1</v>
      </c>
      <c r="Q341" s="5" t="s">
        <v>3203</v>
      </c>
      <c r="R341" s="5" t="s">
        <v>814</v>
      </c>
      <c r="S341" s="5" t="s">
        <v>3204</v>
      </c>
      <c r="T341" s="5" t="s">
        <v>84</v>
      </c>
      <c r="U341" s="5" t="s">
        <v>58</v>
      </c>
      <c r="V341" s="5" t="s">
        <v>51</v>
      </c>
    </row>
    <row r="342" customFormat="false" ht="22.35" hidden="false" customHeight="false" outlineLevel="0" collapsed="false">
      <c r="A342" s="5" t="s">
        <v>3205</v>
      </c>
      <c r="B342" s="5" t="s">
        <v>3188</v>
      </c>
      <c r="C342" s="5" t="s">
        <v>3189</v>
      </c>
      <c r="D342" s="5" t="s">
        <v>3206</v>
      </c>
      <c r="E342" s="5" t="s">
        <v>3207</v>
      </c>
      <c r="F342" s="5" t="s">
        <v>3208</v>
      </c>
      <c r="G342" s="5" t="s">
        <v>2473</v>
      </c>
      <c r="H342" s="5" t="s">
        <v>522</v>
      </c>
      <c r="I342" s="5" t="s">
        <v>196</v>
      </c>
      <c r="J342" s="5" t="s">
        <v>3209</v>
      </c>
      <c r="K342" s="5" t="s">
        <v>3064</v>
      </c>
      <c r="L342" s="5" t="s">
        <v>51</v>
      </c>
      <c r="M342" s="5" t="s">
        <v>79</v>
      </c>
      <c r="N342" s="5" t="s">
        <v>53</v>
      </c>
      <c r="O342" s="5" t="s">
        <v>1103</v>
      </c>
      <c r="P342" s="5" t="n">
        <v>1</v>
      </c>
      <c r="Q342" s="5" t="s">
        <v>3210</v>
      </c>
      <c r="R342" s="5" t="s">
        <v>3211</v>
      </c>
      <c r="S342" s="5" t="s">
        <v>401</v>
      </c>
      <c r="T342" s="5" t="s">
        <v>84</v>
      </c>
      <c r="U342" s="5" t="s">
        <v>58</v>
      </c>
      <c r="V342" s="5" t="s">
        <v>51</v>
      </c>
    </row>
    <row r="343" customFormat="false" ht="22.35" hidden="false" customHeight="false" outlineLevel="0" collapsed="false">
      <c r="A343" s="5" t="s">
        <v>3212</v>
      </c>
      <c r="B343" s="5" t="s">
        <v>3213</v>
      </c>
      <c r="C343" s="5" t="s">
        <v>3214</v>
      </c>
      <c r="D343" s="5" t="s">
        <v>3215</v>
      </c>
      <c r="E343" s="5" t="s">
        <v>3216</v>
      </c>
      <c r="F343" s="5" t="s">
        <v>3217</v>
      </c>
      <c r="G343" s="5" t="s">
        <v>2473</v>
      </c>
      <c r="H343" s="5" t="s">
        <v>3050</v>
      </c>
      <c r="I343" s="5" t="s">
        <v>3044</v>
      </c>
      <c r="J343" s="5" t="s">
        <v>3218</v>
      </c>
      <c r="K343" s="5" t="s">
        <v>3219</v>
      </c>
      <c r="L343" s="5" t="s">
        <v>51</v>
      </c>
      <c r="M343" s="5" t="s">
        <v>408</v>
      </c>
      <c r="N343" s="5" t="s">
        <v>53</v>
      </c>
      <c r="O343" s="5" t="s">
        <v>176</v>
      </c>
      <c r="P343" s="5" t="n">
        <v>1</v>
      </c>
      <c r="Q343" s="5" t="s">
        <v>3220</v>
      </c>
      <c r="R343" s="5" t="s">
        <v>3221</v>
      </c>
      <c r="S343" s="5" t="s">
        <v>3222</v>
      </c>
      <c r="T343" s="5" t="s">
        <v>180</v>
      </c>
      <c r="U343" s="5" t="s">
        <v>58</v>
      </c>
      <c r="V343" s="5" t="s">
        <v>51</v>
      </c>
    </row>
    <row r="344" customFormat="false" ht="22.35" hidden="false" customHeight="false" outlineLevel="0" collapsed="false">
      <c r="A344" s="5" t="s">
        <v>3223</v>
      </c>
      <c r="B344" s="5" t="s">
        <v>3213</v>
      </c>
      <c r="C344" s="5" t="s">
        <v>3214</v>
      </c>
      <c r="D344" s="5" t="s">
        <v>3224</v>
      </c>
      <c r="E344" s="5" t="s">
        <v>3225</v>
      </c>
      <c r="F344" s="5" t="s">
        <v>3226</v>
      </c>
      <c r="G344" s="5" t="s">
        <v>3227</v>
      </c>
      <c r="H344" s="5" t="s">
        <v>3038</v>
      </c>
      <c r="I344" s="5" t="s">
        <v>3044</v>
      </c>
      <c r="J344" s="5" t="s">
        <v>3228</v>
      </c>
      <c r="K344" s="5" t="s">
        <v>3229</v>
      </c>
      <c r="L344" s="5" t="s">
        <v>51</v>
      </c>
      <c r="M344" s="5" t="s">
        <v>52</v>
      </c>
      <c r="N344" s="5" t="s">
        <v>53</v>
      </c>
      <c r="O344" s="5" t="s">
        <v>238</v>
      </c>
      <c r="P344" s="5" t="n">
        <v>1</v>
      </c>
      <c r="Q344" s="5" t="s">
        <v>3230</v>
      </c>
      <c r="R344" s="5" t="s">
        <v>3231</v>
      </c>
      <c r="S344" s="5" t="s">
        <v>3232</v>
      </c>
      <c r="T344" s="5" t="s">
        <v>51</v>
      </c>
      <c r="U344" s="5" t="s">
        <v>58</v>
      </c>
      <c r="V344" s="5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3" min="12" style="0" width="18"/>
    <col collapsed="false" customWidth="true" hidden="false" outlineLevel="0" max="14" min="14" style="0" width="9"/>
  </cols>
  <sheetData>
    <row r="1" customFormat="false" ht="31.5" hidden="false" customHeight="true" outlineLevel="0" collapsed="false">
      <c r="A1" s="4" t="s">
        <v>19</v>
      </c>
      <c r="B1" s="4" t="s">
        <v>21</v>
      </c>
      <c r="C1" s="4" t="s">
        <v>22</v>
      </c>
      <c r="D1" s="4" t="s">
        <v>23</v>
      </c>
      <c r="E1" s="4" t="s">
        <v>3233</v>
      </c>
      <c r="F1" s="4" t="s">
        <v>32</v>
      </c>
      <c r="G1" s="4" t="s">
        <v>3234</v>
      </c>
      <c r="H1" s="4" t="s">
        <v>3235</v>
      </c>
      <c r="I1" s="4" t="s">
        <v>3236</v>
      </c>
      <c r="J1" s="4" t="s">
        <v>3237</v>
      </c>
      <c r="K1" s="4" t="s">
        <v>3238</v>
      </c>
      <c r="L1" s="4" t="s">
        <v>3239</v>
      </c>
      <c r="M1" s="4" t="s">
        <v>3240</v>
      </c>
      <c r="N1" s="4" t="s">
        <v>3241</v>
      </c>
    </row>
    <row r="2" customFormat="false" ht="32.8" hidden="false" customHeight="false" outlineLevel="0" collapsed="false">
      <c r="A2" s="5" t="s">
        <v>40</v>
      </c>
      <c r="B2" s="5" t="s">
        <v>42</v>
      </c>
      <c r="C2" s="5" t="s">
        <v>43</v>
      </c>
      <c r="D2" s="5" t="s">
        <v>44</v>
      </c>
      <c r="E2" s="5" t="n">
        <v>2</v>
      </c>
      <c r="F2" s="5" t="s">
        <v>53</v>
      </c>
      <c r="G2" s="5" t="s">
        <v>54</v>
      </c>
      <c r="H2" s="5" t="s">
        <v>50</v>
      </c>
      <c r="I2" s="5" t="s">
        <v>51</v>
      </c>
      <c r="J2" s="5" t="s">
        <v>52</v>
      </c>
      <c r="K2" s="5" t="s">
        <v>48</v>
      </c>
      <c r="L2" s="5" t="s">
        <v>3242</v>
      </c>
      <c r="M2" s="5" t="s">
        <v>58</v>
      </c>
      <c r="N2" s="5" t="s">
        <v>51</v>
      </c>
    </row>
    <row r="3" customFormat="false" ht="32.8" hidden="false" customHeight="false" outlineLevel="0" collapsed="false">
      <c r="A3" s="5" t="s">
        <v>59</v>
      </c>
      <c r="B3" s="5" t="s">
        <v>42</v>
      </c>
      <c r="C3" s="5" t="s">
        <v>60</v>
      </c>
      <c r="D3" s="5" t="s">
        <v>61</v>
      </c>
      <c r="E3" s="5" t="n">
        <v>1</v>
      </c>
      <c r="F3" s="5" t="s">
        <v>53</v>
      </c>
      <c r="G3" s="5" t="s">
        <v>67</v>
      </c>
      <c r="H3" s="5" t="s">
        <v>65</v>
      </c>
      <c r="I3" s="5" t="s">
        <v>51</v>
      </c>
      <c r="J3" s="5" t="s">
        <v>66</v>
      </c>
      <c r="K3" s="5" t="s">
        <v>48</v>
      </c>
      <c r="L3" s="5" t="s">
        <v>40</v>
      </c>
      <c r="M3" s="5" t="s">
        <v>58</v>
      </c>
      <c r="N3" s="5" t="s">
        <v>51</v>
      </c>
    </row>
    <row r="4" customFormat="false" ht="22.35" hidden="false" customHeight="false" outlineLevel="0" collapsed="false">
      <c r="A4" s="5" t="s">
        <v>71</v>
      </c>
      <c r="B4" s="5" t="s">
        <v>42</v>
      </c>
      <c r="C4" s="5" t="s">
        <v>72</v>
      </c>
      <c r="D4" s="5" t="s">
        <v>73</v>
      </c>
      <c r="E4" s="5" t="n">
        <v>1</v>
      </c>
      <c r="F4" s="5" t="s">
        <v>53</v>
      </c>
      <c r="G4" s="5" t="s">
        <v>80</v>
      </c>
      <c r="H4" s="5" t="s">
        <v>78</v>
      </c>
      <c r="I4" s="5" t="s">
        <v>51</v>
      </c>
      <c r="J4" s="5" t="s">
        <v>79</v>
      </c>
      <c r="K4" s="5" t="s">
        <v>76</v>
      </c>
      <c r="L4" s="5" t="s">
        <v>3242</v>
      </c>
      <c r="M4" s="5" t="s">
        <v>58</v>
      </c>
      <c r="N4" s="5" t="s">
        <v>51</v>
      </c>
    </row>
    <row r="5" customFormat="false" ht="22.35" hidden="false" customHeight="false" outlineLevel="0" collapsed="false">
      <c r="A5" s="5" t="s">
        <v>85</v>
      </c>
      <c r="B5" s="5" t="s">
        <v>42</v>
      </c>
      <c r="C5" s="5" t="s">
        <v>86</v>
      </c>
      <c r="D5" s="5" t="s">
        <v>87</v>
      </c>
      <c r="E5" s="5" t="n">
        <v>2</v>
      </c>
      <c r="F5" s="5" t="s">
        <v>53</v>
      </c>
      <c r="G5" s="5" t="s">
        <v>92</v>
      </c>
      <c r="H5" s="5" t="s">
        <v>91</v>
      </c>
      <c r="I5" s="5" t="s">
        <v>51</v>
      </c>
      <c r="J5" s="5" t="s">
        <v>52</v>
      </c>
      <c r="K5" s="5" t="s">
        <v>48</v>
      </c>
      <c r="L5" s="5" t="s">
        <v>3242</v>
      </c>
      <c r="M5" s="5" t="s">
        <v>58</v>
      </c>
      <c r="N5" s="5" t="s">
        <v>51</v>
      </c>
    </row>
    <row r="6" customFormat="false" ht="22.35" hidden="false" customHeight="false" outlineLevel="0" collapsed="false">
      <c r="A6" s="5" t="s">
        <v>96</v>
      </c>
      <c r="B6" s="5" t="s">
        <v>98</v>
      </c>
      <c r="C6" s="5" t="s">
        <v>99</v>
      </c>
      <c r="D6" s="5" t="s">
        <v>100</v>
      </c>
      <c r="E6" s="5" t="n">
        <v>1</v>
      </c>
      <c r="F6" s="5" t="s">
        <v>53</v>
      </c>
      <c r="G6" s="5" t="s">
        <v>105</v>
      </c>
      <c r="H6" s="5" t="s">
        <v>104</v>
      </c>
      <c r="I6" s="5" t="s">
        <v>51</v>
      </c>
      <c r="J6" s="5" t="s">
        <v>52</v>
      </c>
      <c r="K6" s="5" t="s">
        <v>48</v>
      </c>
      <c r="L6" s="5" t="s">
        <v>102</v>
      </c>
      <c r="M6" s="5" t="s">
        <v>58</v>
      </c>
      <c r="N6" s="5" t="s">
        <v>51</v>
      </c>
    </row>
    <row r="7" customFormat="false" ht="22.35" hidden="false" customHeight="false" outlineLevel="0" collapsed="false">
      <c r="A7" s="5" t="s">
        <v>109</v>
      </c>
      <c r="B7" s="5" t="s">
        <v>98</v>
      </c>
      <c r="C7" s="5" t="s">
        <v>110</v>
      </c>
      <c r="D7" s="5" t="s">
        <v>111</v>
      </c>
      <c r="E7" s="5" t="n">
        <v>1</v>
      </c>
      <c r="F7" s="5" t="s">
        <v>53</v>
      </c>
      <c r="G7" s="5" t="s">
        <v>115</v>
      </c>
      <c r="H7" s="5" t="s">
        <v>114</v>
      </c>
      <c r="I7" s="5" t="s">
        <v>51</v>
      </c>
      <c r="J7" s="5" t="s">
        <v>79</v>
      </c>
      <c r="K7" s="5" t="s">
        <v>48</v>
      </c>
      <c r="L7" s="5" t="s">
        <v>96</v>
      </c>
      <c r="M7" s="5" t="s">
        <v>58</v>
      </c>
      <c r="N7" s="5" t="s">
        <v>51</v>
      </c>
    </row>
    <row r="8" customFormat="false" ht="22.35" hidden="false" customHeight="false" outlineLevel="0" collapsed="false">
      <c r="A8" s="5" t="s">
        <v>119</v>
      </c>
      <c r="B8" s="5" t="s">
        <v>98</v>
      </c>
      <c r="C8" s="5" t="s">
        <v>120</v>
      </c>
      <c r="D8" s="5" t="s">
        <v>121</v>
      </c>
      <c r="E8" s="5" t="n">
        <v>1</v>
      </c>
      <c r="F8" s="5" t="s">
        <v>53</v>
      </c>
      <c r="G8" s="5" t="s">
        <v>125</v>
      </c>
      <c r="H8" s="5" t="s">
        <v>124</v>
      </c>
      <c r="I8" s="5" t="s">
        <v>51</v>
      </c>
      <c r="J8" s="5" t="s">
        <v>52</v>
      </c>
      <c r="K8" s="5" t="s">
        <v>48</v>
      </c>
      <c r="L8" s="5" t="s">
        <v>109</v>
      </c>
      <c r="M8" s="5" t="s">
        <v>58</v>
      </c>
      <c r="N8" s="5" t="s">
        <v>51</v>
      </c>
    </row>
    <row r="9" customFormat="false" ht="22.35" hidden="false" customHeight="false" outlineLevel="0" collapsed="false">
      <c r="A9" s="5" t="s">
        <v>129</v>
      </c>
      <c r="B9" s="5" t="s">
        <v>98</v>
      </c>
      <c r="C9" s="5" t="s">
        <v>130</v>
      </c>
      <c r="D9" s="5" t="s">
        <v>131</v>
      </c>
      <c r="E9" s="5" t="n">
        <v>1</v>
      </c>
      <c r="F9" s="5" t="s">
        <v>53</v>
      </c>
      <c r="G9" s="5" t="s">
        <v>105</v>
      </c>
      <c r="H9" s="5" t="s">
        <v>134</v>
      </c>
      <c r="I9" s="5" t="s">
        <v>51</v>
      </c>
      <c r="J9" s="5" t="s">
        <v>52</v>
      </c>
      <c r="K9" s="5" t="s">
        <v>48</v>
      </c>
      <c r="L9" s="5" t="s">
        <v>109</v>
      </c>
      <c r="M9" s="5" t="s">
        <v>58</v>
      </c>
      <c r="N9" s="5" t="s">
        <v>51</v>
      </c>
    </row>
    <row r="10" customFormat="false" ht="22.35" hidden="false" customHeight="false" outlineLevel="0" collapsed="false">
      <c r="A10" s="5" t="s">
        <v>138</v>
      </c>
      <c r="B10" s="5" t="s">
        <v>48</v>
      </c>
      <c r="C10" s="5" t="s">
        <v>140</v>
      </c>
      <c r="D10" s="5" t="s">
        <v>141</v>
      </c>
      <c r="E10" s="5" t="n">
        <v>1</v>
      </c>
      <c r="F10" s="5" t="s">
        <v>53</v>
      </c>
      <c r="G10" s="5" t="s">
        <v>67</v>
      </c>
      <c r="H10" s="5" t="s">
        <v>144</v>
      </c>
      <c r="I10" s="5" t="s">
        <v>51</v>
      </c>
      <c r="J10" s="5" t="s">
        <v>79</v>
      </c>
      <c r="K10" s="5" t="s">
        <v>48</v>
      </c>
      <c r="L10" s="5" t="s">
        <v>109</v>
      </c>
      <c r="M10" s="5" t="s">
        <v>58</v>
      </c>
      <c r="N10" s="5" t="s">
        <v>51</v>
      </c>
    </row>
    <row r="11" customFormat="false" ht="22.35" hidden="false" customHeight="false" outlineLevel="0" collapsed="false">
      <c r="A11" s="5" t="s">
        <v>148</v>
      </c>
      <c r="B11" s="5" t="s">
        <v>48</v>
      </c>
      <c r="C11" s="5" t="s">
        <v>149</v>
      </c>
      <c r="D11" s="5" t="s">
        <v>150</v>
      </c>
      <c r="E11" s="5" t="n">
        <v>1</v>
      </c>
      <c r="F11" s="5" t="s">
        <v>53</v>
      </c>
      <c r="G11" s="5" t="s">
        <v>154</v>
      </c>
      <c r="H11" s="5" t="s">
        <v>153</v>
      </c>
      <c r="I11" s="5" t="s">
        <v>51</v>
      </c>
      <c r="J11" s="5" t="s">
        <v>52</v>
      </c>
      <c r="K11" s="5" t="s">
        <v>76</v>
      </c>
      <c r="L11" s="5" t="s">
        <v>138</v>
      </c>
      <c r="M11" s="5" t="s">
        <v>58</v>
      </c>
      <c r="N11" s="5" t="s">
        <v>51</v>
      </c>
    </row>
    <row r="12" customFormat="false" ht="22.35" hidden="false" customHeight="false" outlineLevel="0" collapsed="false">
      <c r="A12" s="5" t="s">
        <v>158</v>
      </c>
      <c r="B12" s="5" t="s">
        <v>48</v>
      </c>
      <c r="C12" s="5" t="s">
        <v>159</v>
      </c>
      <c r="D12" s="5" t="s">
        <v>160</v>
      </c>
      <c r="E12" s="5" t="n">
        <v>2</v>
      </c>
      <c r="F12" s="5" t="s">
        <v>164</v>
      </c>
      <c r="G12" s="5" t="s">
        <v>165</v>
      </c>
      <c r="H12" s="5" t="s">
        <v>163</v>
      </c>
      <c r="I12" s="5" t="s">
        <v>51</v>
      </c>
      <c r="J12" s="5" t="s">
        <v>52</v>
      </c>
      <c r="K12" s="5" t="s">
        <v>48</v>
      </c>
      <c r="L12" s="5" t="s">
        <v>148</v>
      </c>
      <c r="M12" s="5" t="s">
        <v>58</v>
      </c>
      <c r="N12" s="5" t="s">
        <v>51</v>
      </c>
    </row>
    <row r="13" customFormat="false" ht="22.35" hidden="false" customHeight="false" outlineLevel="0" collapsed="false">
      <c r="A13" s="5" t="s">
        <v>169</v>
      </c>
      <c r="B13" s="5" t="s">
        <v>48</v>
      </c>
      <c r="C13" s="5" t="s">
        <v>170</v>
      </c>
      <c r="D13" s="5" t="s">
        <v>171</v>
      </c>
      <c r="E13" s="5" t="n">
        <v>2</v>
      </c>
      <c r="F13" s="5" t="s">
        <v>164</v>
      </c>
      <c r="G13" s="5" t="s">
        <v>176</v>
      </c>
      <c r="H13" s="5" t="s">
        <v>175</v>
      </c>
      <c r="I13" s="5" t="s">
        <v>84</v>
      </c>
      <c r="J13" s="5" t="s">
        <v>52</v>
      </c>
      <c r="K13" s="5" t="s">
        <v>48</v>
      </c>
      <c r="L13" s="5" t="s">
        <v>173</v>
      </c>
      <c r="M13" s="5" t="s">
        <v>58</v>
      </c>
      <c r="N13" s="5" t="s">
        <v>51</v>
      </c>
    </row>
    <row r="14" customFormat="false" ht="22.35" hidden="false" customHeight="false" outlineLevel="0" collapsed="false">
      <c r="A14" s="5" t="s">
        <v>181</v>
      </c>
      <c r="B14" s="5" t="s">
        <v>48</v>
      </c>
      <c r="C14" s="5" t="s">
        <v>182</v>
      </c>
      <c r="D14" s="5" t="s">
        <v>183</v>
      </c>
      <c r="E14" s="5" t="n">
        <v>1</v>
      </c>
      <c r="F14" s="5" t="s">
        <v>53</v>
      </c>
      <c r="G14" s="5" t="s">
        <v>105</v>
      </c>
      <c r="H14" s="5" t="s">
        <v>186</v>
      </c>
      <c r="I14" s="5" t="s">
        <v>51</v>
      </c>
      <c r="J14" s="5" t="s">
        <v>52</v>
      </c>
      <c r="K14" s="5" t="s">
        <v>76</v>
      </c>
      <c r="L14" s="5" t="s">
        <v>138</v>
      </c>
      <c r="M14" s="5" t="s">
        <v>58</v>
      </c>
      <c r="N14" s="5" t="s">
        <v>51</v>
      </c>
    </row>
    <row r="15" customFormat="false" ht="22.35" hidden="false" customHeight="false" outlineLevel="0" collapsed="false">
      <c r="A15" s="5" t="s">
        <v>190</v>
      </c>
      <c r="B15" s="5" t="s">
        <v>192</v>
      </c>
      <c r="C15" s="5" t="s">
        <v>193</v>
      </c>
      <c r="D15" s="5" t="s">
        <v>194</v>
      </c>
      <c r="E15" s="5" t="n">
        <v>1</v>
      </c>
      <c r="F15" s="5" t="s">
        <v>53</v>
      </c>
      <c r="G15" s="5" t="s">
        <v>199</v>
      </c>
      <c r="H15" s="5" t="s">
        <v>198</v>
      </c>
      <c r="I15" s="5" t="s">
        <v>51</v>
      </c>
      <c r="J15" s="5" t="s">
        <v>79</v>
      </c>
      <c r="K15" s="5" t="s">
        <v>196</v>
      </c>
      <c r="L15" s="5" t="s">
        <v>148</v>
      </c>
      <c r="M15" s="5" t="s">
        <v>58</v>
      </c>
      <c r="N15" s="5" t="s">
        <v>51</v>
      </c>
    </row>
    <row r="16" customFormat="false" ht="22.35" hidden="false" customHeight="false" outlineLevel="0" collapsed="false">
      <c r="A16" s="5" t="s">
        <v>203</v>
      </c>
      <c r="B16" s="5" t="s">
        <v>192</v>
      </c>
      <c r="C16" s="5" t="s">
        <v>204</v>
      </c>
      <c r="D16" s="5" t="s">
        <v>205</v>
      </c>
      <c r="E16" s="5" t="n">
        <v>3</v>
      </c>
      <c r="F16" s="5" t="s">
        <v>164</v>
      </c>
      <c r="G16" s="5" t="s">
        <v>209</v>
      </c>
      <c r="H16" s="5" t="s">
        <v>208</v>
      </c>
      <c r="I16" s="5" t="s">
        <v>51</v>
      </c>
      <c r="J16" s="5" t="s">
        <v>79</v>
      </c>
      <c r="K16" s="5" t="s">
        <v>196</v>
      </c>
      <c r="L16" s="5" t="s">
        <v>190</v>
      </c>
      <c r="M16" s="5" t="s">
        <v>58</v>
      </c>
      <c r="N16" s="5" t="s">
        <v>51</v>
      </c>
    </row>
    <row r="17" customFormat="false" ht="22.35" hidden="false" customHeight="false" outlineLevel="0" collapsed="false">
      <c r="A17" s="5" t="s">
        <v>213</v>
      </c>
      <c r="B17" s="5" t="s">
        <v>192</v>
      </c>
      <c r="C17" s="5" t="s">
        <v>214</v>
      </c>
      <c r="D17" s="5" t="s">
        <v>215</v>
      </c>
      <c r="E17" s="5" t="n">
        <v>1</v>
      </c>
      <c r="F17" s="5" t="s">
        <v>53</v>
      </c>
      <c r="G17" s="5" t="s">
        <v>67</v>
      </c>
      <c r="H17" s="5" t="s">
        <v>218</v>
      </c>
      <c r="I17" s="5" t="s">
        <v>84</v>
      </c>
      <c r="J17" s="5" t="s">
        <v>79</v>
      </c>
      <c r="K17" s="5" t="s">
        <v>196</v>
      </c>
      <c r="L17" s="5" t="s">
        <v>203</v>
      </c>
      <c r="M17" s="5" t="s">
        <v>58</v>
      </c>
      <c r="N17" s="5" t="s">
        <v>51</v>
      </c>
    </row>
    <row r="18" customFormat="false" ht="22.35" hidden="false" customHeight="false" outlineLevel="0" collapsed="false">
      <c r="A18" s="5" t="s">
        <v>222</v>
      </c>
      <c r="B18" s="5" t="s">
        <v>192</v>
      </c>
      <c r="C18" s="5" t="s">
        <v>223</v>
      </c>
      <c r="D18" s="5" t="s">
        <v>224</v>
      </c>
      <c r="E18" s="5" t="n">
        <v>1</v>
      </c>
      <c r="F18" s="5" t="s">
        <v>53</v>
      </c>
      <c r="G18" s="5" t="s">
        <v>228</v>
      </c>
      <c r="H18" s="5" t="s">
        <v>227</v>
      </c>
      <c r="I18" s="5" t="s">
        <v>84</v>
      </c>
      <c r="J18" s="5" t="s">
        <v>79</v>
      </c>
      <c r="K18" s="5" t="s">
        <v>196</v>
      </c>
      <c r="L18" s="5" t="s">
        <v>203</v>
      </c>
      <c r="M18" s="5" t="s">
        <v>58</v>
      </c>
      <c r="N18" s="5" t="s">
        <v>51</v>
      </c>
    </row>
    <row r="19" customFormat="false" ht="22.35" hidden="false" customHeight="false" outlineLevel="0" collapsed="false">
      <c r="A19" s="5" t="s">
        <v>232</v>
      </c>
      <c r="B19" s="5" t="s">
        <v>192</v>
      </c>
      <c r="C19" s="5" t="s">
        <v>233</v>
      </c>
      <c r="D19" s="5" t="s">
        <v>234</v>
      </c>
      <c r="E19" s="5" t="n">
        <v>2</v>
      </c>
      <c r="F19" s="5" t="s">
        <v>164</v>
      </c>
      <c r="G19" s="5" t="s">
        <v>238</v>
      </c>
      <c r="H19" s="5" t="s">
        <v>237</v>
      </c>
      <c r="I19" s="5" t="s">
        <v>51</v>
      </c>
      <c r="J19" s="5" t="s">
        <v>79</v>
      </c>
      <c r="K19" s="5" t="s">
        <v>196</v>
      </c>
      <c r="L19" s="5" t="s">
        <v>203</v>
      </c>
      <c r="M19" s="5" t="s">
        <v>58</v>
      </c>
      <c r="N19" s="5" t="s">
        <v>51</v>
      </c>
    </row>
    <row r="20" customFormat="false" ht="22.35" hidden="false" customHeight="false" outlineLevel="0" collapsed="false">
      <c r="A20" s="5" t="s">
        <v>242</v>
      </c>
      <c r="B20" s="5" t="s">
        <v>244</v>
      </c>
      <c r="C20" s="5" t="s">
        <v>245</v>
      </c>
      <c r="D20" s="5" t="s">
        <v>246</v>
      </c>
      <c r="E20" s="5" t="n">
        <v>1</v>
      </c>
      <c r="F20" s="5" t="s">
        <v>53</v>
      </c>
      <c r="G20" s="5" t="s">
        <v>67</v>
      </c>
      <c r="H20" s="5" t="s">
        <v>250</v>
      </c>
      <c r="I20" s="5" t="s">
        <v>84</v>
      </c>
      <c r="J20" s="5" t="s">
        <v>52</v>
      </c>
      <c r="K20" s="5" t="s">
        <v>196</v>
      </c>
      <c r="L20" s="5" t="s">
        <v>213</v>
      </c>
      <c r="M20" s="5" t="s">
        <v>58</v>
      </c>
      <c r="N20" s="5" t="s">
        <v>51</v>
      </c>
    </row>
    <row r="21" customFormat="false" ht="22.35" hidden="false" customHeight="false" outlineLevel="0" collapsed="false">
      <c r="A21" s="5" t="s">
        <v>254</v>
      </c>
      <c r="B21" s="5" t="s">
        <v>244</v>
      </c>
      <c r="C21" s="5" t="s">
        <v>255</v>
      </c>
      <c r="D21" s="5" t="s">
        <v>256</v>
      </c>
      <c r="E21" s="5" t="n">
        <v>2</v>
      </c>
      <c r="F21" s="5" t="s">
        <v>53</v>
      </c>
      <c r="G21" s="5" t="s">
        <v>238</v>
      </c>
      <c r="H21" s="5" t="s">
        <v>259</v>
      </c>
      <c r="I21" s="5" t="s">
        <v>84</v>
      </c>
      <c r="J21" s="5" t="s">
        <v>79</v>
      </c>
      <c r="K21" s="5" t="s">
        <v>196</v>
      </c>
      <c r="L21" s="5" t="s">
        <v>213</v>
      </c>
      <c r="M21" s="5" t="s">
        <v>58</v>
      </c>
      <c r="N21" s="5" t="s">
        <v>51</v>
      </c>
    </row>
    <row r="22" customFormat="false" ht="22.35" hidden="false" customHeight="false" outlineLevel="0" collapsed="false">
      <c r="A22" s="5" t="s">
        <v>263</v>
      </c>
      <c r="B22" s="5" t="s">
        <v>244</v>
      </c>
      <c r="C22" s="5" t="s">
        <v>264</v>
      </c>
      <c r="D22" s="5" t="s">
        <v>265</v>
      </c>
      <c r="E22" s="5" t="n">
        <v>2</v>
      </c>
      <c r="F22" s="5" t="s">
        <v>164</v>
      </c>
      <c r="G22" s="5" t="s">
        <v>238</v>
      </c>
      <c r="H22" s="5" t="s">
        <v>268</v>
      </c>
      <c r="I22" s="5" t="s">
        <v>84</v>
      </c>
      <c r="J22" s="5" t="s">
        <v>79</v>
      </c>
      <c r="K22" s="5" t="s">
        <v>196</v>
      </c>
      <c r="L22" s="5" t="s">
        <v>213</v>
      </c>
      <c r="M22" s="5" t="s">
        <v>58</v>
      </c>
      <c r="N22" s="5" t="s">
        <v>51</v>
      </c>
    </row>
    <row r="23" customFormat="false" ht="22.35" hidden="false" customHeight="false" outlineLevel="0" collapsed="false">
      <c r="A23" s="5" t="s">
        <v>272</v>
      </c>
      <c r="B23" s="5" t="s">
        <v>244</v>
      </c>
      <c r="C23" s="5" t="s">
        <v>273</v>
      </c>
      <c r="D23" s="5" t="s">
        <v>274</v>
      </c>
      <c r="E23" s="5" t="n">
        <v>1</v>
      </c>
      <c r="F23" s="5" t="s">
        <v>53</v>
      </c>
      <c r="G23" s="5" t="s">
        <v>67</v>
      </c>
      <c r="H23" s="5" t="s">
        <v>277</v>
      </c>
      <c r="I23" s="5" t="s">
        <v>84</v>
      </c>
      <c r="J23" s="5" t="s">
        <v>79</v>
      </c>
      <c r="K23" s="5" t="s">
        <v>196</v>
      </c>
      <c r="L23" s="5" t="s">
        <v>254</v>
      </c>
      <c r="M23" s="5" t="s">
        <v>58</v>
      </c>
      <c r="N23" s="5" t="s">
        <v>51</v>
      </c>
    </row>
    <row r="24" customFormat="false" ht="22.35" hidden="false" customHeight="false" outlineLevel="0" collapsed="false">
      <c r="A24" s="5" t="s">
        <v>281</v>
      </c>
      <c r="B24" s="5" t="s">
        <v>244</v>
      </c>
      <c r="C24" s="5" t="s">
        <v>282</v>
      </c>
      <c r="D24" s="5" t="s">
        <v>283</v>
      </c>
      <c r="E24" s="5" t="n">
        <v>2</v>
      </c>
      <c r="F24" s="5" t="s">
        <v>164</v>
      </c>
      <c r="G24" s="5" t="s">
        <v>238</v>
      </c>
      <c r="H24" s="5" t="s">
        <v>237</v>
      </c>
      <c r="I24" s="5" t="s">
        <v>84</v>
      </c>
      <c r="J24" s="5" t="s">
        <v>79</v>
      </c>
      <c r="K24" s="5" t="s">
        <v>196</v>
      </c>
      <c r="L24" s="5" t="s">
        <v>263</v>
      </c>
      <c r="M24" s="5" t="s">
        <v>58</v>
      </c>
      <c r="N24" s="5" t="s">
        <v>51</v>
      </c>
    </row>
    <row r="25" customFormat="false" ht="32.8" hidden="false" customHeight="false" outlineLevel="0" collapsed="false">
      <c r="A25" s="5" t="s">
        <v>289</v>
      </c>
      <c r="B25" s="5" t="s">
        <v>244</v>
      </c>
      <c r="C25" s="5" t="s">
        <v>290</v>
      </c>
      <c r="D25" s="5" t="s">
        <v>291</v>
      </c>
      <c r="E25" s="5" t="n">
        <v>1</v>
      </c>
      <c r="F25" s="5" t="s">
        <v>164</v>
      </c>
      <c r="G25" s="5" t="s">
        <v>67</v>
      </c>
      <c r="H25" s="5" t="s">
        <v>268</v>
      </c>
      <c r="I25" s="5" t="s">
        <v>84</v>
      </c>
      <c r="J25" s="5" t="s">
        <v>79</v>
      </c>
      <c r="K25" s="5" t="s">
        <v>196</v>
      </c>
      <c r="L25" s="5" t="s">
        <v>263</v>
      </c>
      <c r="M25" s="5" t="s">
        <v>58</v>
      </c>
      <c r="N25" s="5" t="s">
        <v>51</v>
      </c>
    </row>
    <row r="26" customFormat="false" ht="22.35" hidden="false" customHeight="false" outlineLevel="0" collapsed="false">
      <c r="A26" s="5" t="s">
        <v>297</v>
      </c>
      <c r="B26" s="5" t="s">
        <v>244</v>
      </c>
      <c r="C26" s="5" t="s">
        <v>298</v>
      </c>
      <c r="D26" s="5" t="s">
        <v>299</v>
      </c>
      <c r="E26" s="5" t="n">
        <v>1</v>
      </c>
      <c r="F26" s="5" t="s">
        <v>53</v>
      </c>
      <c r="G26" s="5" t="s">
        <v>105</v>
      </c>
      <c r="H26" s="5" t="s">
        <v>303</v>
      </c>
      <c r="I26" s="5" t="s">
        <v>84</v>
      </c>
      <c r="J26" s="5" t="s">
        <v>79</v>
      </c>
      <c r="K26" s="5" t="s">
        <v>196</v>
      </c>
      <c r="L26" s="5" t="s">
        <v>3243</v>
      </c>
      <c r="M26" s="5" t="s">
        <v>58</v>
      </c>
      <c r="N26" s="5" t="s">
        <v>51</v>
      </c>
    </row>
    <row r="27" customFormat="false" ht="22.35" hidden="false" customHeight="false" outlineLevel="0" collapsed="false">
      <c r="A27" s="5" t="s">
        <v>307</v>
      </c>
      <c r="B27" s="5" t="s">
        <v>309</v>
      </c>
      <c r="C27" s="5" t="s">
        <v>310</v>
      </c>
      <c r="D27" s="5" t="s">
        <v>311</v>
      </c>
      <c r="E27" s="5" t="n">
        <v>2</v>
      </c>
      <c r="F27" s="5" t="s">
        <v>164</v>
      </c>
      <c r="G27" s="5" t="s">
        <v>238</v>
      </c>
      <c r="H27" s="5" t="s">
        <v>315</v>
      </c>
      <c r="I27" s="5" t="s">
        <v>84</v>
      </c>
      <c r="J27" s="5" t="s">
        <v>79</v>
      </c>
      <c r="K27" s="5" t="s">
        <v>196</v>
      </c>
      <c r="L27" s="5" t="s">
        <v>297</v>
      </c>
      <c r="M27" s="5" t="s">
        <v>58</v>
      </c>
      <c r="N27" s="5" t="s">
        <v>51</v>
      </c>
    </row>
    <row r="28" customFormat="false" ht="32.8" hidden="false" customHeight="false" outlineLevel="0" collapsed="false">
      <c r="A28" s="5" t="s">
        <v>319</v>
      </c>
      <c r="B28" s="5" t="s">
        <v>309</v>
      </c>
      <c r="C28" s="5" t="s">
        <v>320</v>
      </c>
      <c r="D28" s="5" t="s">
        <v>321</v>
      </c>
      <c r="E28" s="5" t="n">
        <v>1</v>
      </c>
      <c r="F28" s="5" t="s">
        <v>53</v>
      </c>
      <c r="G28" s="5" t="s">
        <v>67</v>
      </c>
      <c r="H28" s="5" t="s">
        <v>315</v>
      </c>
      <c r="I28" s="5" t="s">
        <v>84</v>
      </c>
      <c r="J28" s="5" t="s">
        <v>79</v>
      </c>
      <c r="K28" s="5" t="s">
        <v>196</v>
      </c>
      <c r="L28" s="5" t="s">
        <v>307</v>
      </c>
      <c r="M28" s="5" t="s">
        <v>58</v>
      </c>
      <c r="N28" s="5" t="s">
        <v>51</v>
      </c>
    </row>
    <row r="29" customFormat="false" ht="22.35" hidden="false" customHeight="false" outlineLevel="0" collapsed="false">
      <c r="A29" s="5" t="s">
        <v>327</v>
      </c>
      <c r="B29" s="5" t="s">
        <v>309</v>
      </c>
      <c r="C29" s="5" t="s">
        <v>328</v>
      </c>
      <c r="D29" s="5" t="s">
        <v>329</v>
      </c>
      <c r="E29" s="5" t="n">
        <v>1</v>
      </c>
      <c r="F29" s="5" t="s">
        <v>53</v>
      </c>
      <c r="G29" s="5" t="s">
        <v>105</v>
      </c>
      <c r="H29" s="5" t="s">
        <v>315</v>
      </c>
      <c r="I29" s="5" t="s">
        <v>84</v>
      </c>
      <c r="J29" s="5" t="s">
        <v>79</v>
      </c>
      <c r="K29" s="5" t="s">
        <v>196</v>
      </c>
      <c r="L29" s="5" t="s">
        <v>307</v>
      </c>
      <c r="M29" s="5" t="s">
        <v>58</v>
      </c>
      <c r="N29" s="5" t="s">
        <v>51</v>
      </c>
    </row>
    <row r="30" customFormat="false" ht="22.35" hidden="false" customHeight="false" outlineLevel="0" collapsed="false">
      <c r="A30" s="5" t="s">
        <v>335</v>
      </c>
      <c r="B30" s="5" t="s">
        <v>309</v>
      </c>
      <c r="C30" s="5" t="s">
        <v>336</v>
      </c>
      <c r="D30" s="5" t="s">
        <v>337</v>
      </c>
      <c r="E30" s="5" t="n">
        <v>1</v>
      </c>
      <c r="F30" s="5" t="s">
        <v>53</v>
      </c>
      <c r="G30" s="5" t="s">
        <v>105</v>
      </c>
      <c r="H30" s="5" t="s">
        <v>315</v>
      </c>
      <c r="I30" s="5" t="s">
        <v>84</v>
      </c>
      <c r="J30" s="5" t="s">
        <v>79</v>
      </c>
      <c r="K30" s="5" t="s">
        <v>196</v>
      </c>
      <c r="L30" s="5" t="s">
        <v>307</v>
      </c>
      <c r="M30" s="5" t="s">
        <v>58</v>
      </c>
      <c r="N30" s="5" t="s">
        <v>51</v>
      </c>
    </row>
    <row r="31" customFormat="false" ht="22.35" hidden="false" customHeight="false" outlineLevel="0" collapsed="false">
      <c r="A31" s="5" t="s">
        <v>343</v>
      </c>
      <c r="B31" s="5" t="s">
        <v>309</v>
      </c>
      <c r="C31" s="5" t="s">
        <v>344</v>
      </c>
      <c r="D31" s="5" t="s">
        <v>345</v>
      </c>
      <c r="E31" s="5" t="n">
        <v>1</v>
      </c>
      <c r="F31" s="5" t="s">
        <v>164</v>
      </c>
      <c r="G31" s="5" t="s">
        <v>67</v>
      </c>
      <c r="H31" s="5" t="s">
        <v>315</v>
      </c>
      <c r="I31" s="5" t="s">
        <v>84</v>
      </c>
      <c r="J31" s="5" t="s">
        <v>79</v>
      </c>
      <c r="K31" s="5" t="s">
        <v>196</v>
      </c>
      <c r="L31" s="5" t="s">
        <v>307</v>
      </c>
      <c r="M31" s="5" t="s">
        <v>58</v>
      </c>
      <c r="N31" s="5" t="s">
        <v>51</v>
      </c>
    </row>
    <row r="32" customFormat="false" ht="22.35" hidden="false" customHeight="false" outlineLevel="0" collapsed="false">
      <c r="A32" s="5" t="s">
        <v>351</v>
      </c>
      <c r="B32" s="5" t="s">
        <v>353</v>
      </c>
      <c r="C32" s="5" t="s">
        <v>354</v>
      </c>
      <c r="D32" s="5" t="s">
        <v>355</v>
      </c>
      <c r="E32" s="5" t="n">
        <v>3</v>
      </c>
      <c r="F32" s="5" t="s">
        <v>164</v>
      </c>
      <c r="G32" s="5" t="s">
        <v>361</v>
      </c>
      <c r="H32" s="5" t="s">
        <v>360</v>
      </c>
      <c r="I32" s="5" t="s">
        <v>51</v>
      </c>
      <c r="J32" s="5" t="s">
        <v>79</v>
      </c>
      <c r="K32" s="5" t="s">
        <v>196</v>
      </c>
      <c r="L32" s="5" t="s">
        <v>3244</v>
      </c>
      <c r="M32" s="5" t="s">
        <v>58</v>
      </c>
      <c r="N32" s="5" t="s">
        <v>51</v>
      </c>
    </row>
    <row r="33" customFormat="false" ht="22.35" hidden="false" customHeight="false" outlineLevel="0" collapsed="false">
      <c r="A33" s="5" t="s">
        <v>365</v>
      </c>
      <c r="B33" s="5" t="s">
        <v>353</v>
      </c>
      <c r="C33" s="5" t="s">
        <v>366</v>
      </c>
      <c r="D33" s="5" t="s">
        <v>367</v>
      </c>
      <c r="E33" s="5" t="n">
        <v>1</v>
      </c>
      <c r="F33" s="5" t="s">
        <v>164</v>
      </c>
      <c r="G33" s="5" t="s">
        <v>67</v>
      </c>
      <c r="H33" s="5" t="s">
        <v>370</v>
      </c>
      <c r="I33" s="5" t="s">
        <v>51</v>
      </c>
      <c r="J33" s="5" t="s">
        <v>79</v>
      </c>
      <c r="K33" s="5" t="s">
        <v>196</v>
      </c>
      <c r="L33" s="5" t="s">
        <v>351</v>
      </c>
      <c r="M33" s="5" t="s">
        <v>58</v>
      </c>
      <c r="N33" s="5" t="s">
        <v>51</v>
      </c>
    </row>
    <row r="34" customFormat="false" ht="22.35" hidden="false" customHeight="false" outlineLevel="0" collapsed="false">
      <c r="A34" s="5" t="s">
        <v>173</v>
      </c>
      <c r="B34" s="5" t="s">
        <v>353</v>
      </c>
      <c r="C34" s="5" t="s">
        <v>374</v>
      </c>
      <c r="D34" s="5" t="s">
        <v>375</v>
      </c>
      <c r="E34" s="5" t="n">
        <v>4</v>
      </c>
      <c r="F34" s="5" t="s">
        <v>164</v>
      </c>
      <c r="G34" s="5" t="s">
        <v>379</v>
      </c>
      <c r="H34" s="5" t="s">
        <v>378</v>
      </c>
      <c r="I34" s="5" t="s">
        <v>84</v>
      </c>
      <c r="J34" s="5" t="s">
        <v>79</v>
      </c>
      <c r="K34" s="5" t="s">
        <v>196</v>
      </c>
      <c r="L34" s="5" t="s">
        <v>365</v>
      </c>
      <c r="M34" s="5" t="s">
        <v>58</v>
      </c>
      <c r="N34" s="5" t="s">
        <v>51</v>
      </c>
    </row>
    <row r="35" customFormat="false" ht="22.35" hidden="false" customHeight="false" outlineLevel="0" collapsed="false">
      <c r="A35" s="5" t="s">
        <v>383</v>
      </c>
      <c r="B35" s="5" t="s">
        <v>353</v>
      </c>
      <c r="C35" s="5" t="s">
        <v>384</v>
      </c>
      <c r="D35" s="5" t="s">
        <v>385</v>
      </c>
      <c r="E35" s="5" t="n">
        <v>1</v>
      </c>
      <c r="F35" s="5" t="s">
        <v>53</v>
      </c>
      <c r="G35" s="5" t="s">
        <v>389</v>
      </c>
      <c r="H35" s="5" t="s">
        <v>388</v>
      </c>
      <c r="I35" s="5" t="s">
        <v>84</v>
      </c>
      <c r="J35" s="5" t="s">
        <v>52</v>
      </c>
      <c r="K35" s="5" t="s">
        <v>196</v>
      </c>
      <c r="L35" s="5" t="s">
        <v>365</v>
      </c>
      <c r="M35" s="5" t="s">
        <v>58</v>
      </c>
      <c r="N35" s="5" t="s">
        <v>51</v>
      </c>
    </row>
    <row r="36" customFormat="false" ht="22.35" hidden="false" customHeight="false" outlineLevel="0" collapsed="false">
      <c r="A36" s="5" t="s">
        <v>393</v>
      </c>
      <c r="B36" s="5" t="s">
        <v>353</v>
      </c>
      <c r="C36" s="5" t="s">
        <v>394</v>
      </c>
      <c r="D36" s="5" t="s">
        <v>395</v>
      </c>
      <c r="E36" s="5" t="n">
        <v>1</v>
      </c>
      <c r="F36" s="5" t="s">
        <v>53</v>
      </c>
      <c r="G36" s="5" t="s">
        <v>67</v>
      </c>
      <c r="H36" s="5" t="s">
        <v>398</v>
      </c>
      <c r="I36" s="5" t="s">
        <v>51</v>
      </c>
      <c r="J36" s="5" t="s">
        <v>52</v>
      </c>
      <c r="K36" s="5" t="s">
        <v>48</v>
      </c>
      <c r="L36" s="5" t="s">
        <v>173</v>
      </c>
      <c r="M36" s="5" t="s">
        <v>58</v>
      </c>
      <c r="N36" s="5" t="s">
        <v>51</v>
      </c>
    </row>
    <row r="37" customFormat="false" ht="22.35" hidden="false" customHeight="false" outlineLevel="0" collapsed="false">
      <c r="A37" s="5" t="s">
        <v>402</v>
      </c>
      <c r="B37" s="5" t="s">
        <v>353</v>
      </c>
      <c r="C37" s="5" t="s">
        <v>403</v>
      </c>
      <c r="D37" s="5" t="s">
        <v>404</v>
      </c>
      <c r="E37" s="5" t="n">
        <v>1</v>
      </c>
      <c r="F37" s="5" t="s">
        <v>53</v>
      </c>
      <c r="G37" s="5" t="s">
        <v>176</v>
      </c>
      <c r="H37" s="5" t="s">
        <v>407</v>
      </c>
      <c r="I37" s="5" t="s">
        <v>84</v>
      </c>
      <c r="J37" s="5" t="s">
        <v>408</v>
      </c>
      <c r="K37" s="5" t="s">
        <v>196</v>
      </c>
      <c r="L37" s="5" t="s">
        <v>169</v>
      </c>
      <c r="M37" s="5" t="s">
        <v>58</v>
      </c>
      <c r="N37" s="5" t="s">
        <v>51</v>
      </c>
    </row>
    <row r="38" customFormat="false" ht="22.35" hidden="false" customHeight="false" outlineLevel="0" collapsed="false">
      <c r="A38" s="5" t="s">
        <v>412</v>
      </c>
      <c r="B38" s="5" t="s">
        <v>414</v>
      </c>
      <c r="C38" s="5" t="s">
        <v>415</v>
      </c>
      <c r="D38" s="5" t="s">
        <v>416</v>
      </c>
      <c r="E38" s="5" t="n">
        <v>2</v>
      </c>
      <c r="F38" s="5" t="s">
        <v>164</v>
      </c>
      <c r="G38" s="5" t="s">
        <v>238</v>
      </c>
      <c r="H38" s="5" t="s">
        <v>421</v>
      </c>
      <c r="I38" s="5" t="s">
        <v>51</v>
      </c>
      <c r="J38" s="5" t="s">
        <v>79</v>
      </c>
      <c r="K38" s="5" t="s">
        <v>196</v>
      </c>
      <c r="L38" s="5" t="s">
        <v>173</v>
      </c>
      <c r="M38" s="5" t="s">
        <v>58</v>
      </c>
      <c r="N38" s="5" t="s">
        <v>51</v>
      </c>
    </row>
    <row r="39" customFormat="false" ht="22.35" hidden="false" customHeight="false" outlineLevel="0" collapsed="false">
      <c r="A39" s="5" t="s">
        <v>425</v>
      </c>
      <c r="B39" s="5" t="s">
        <v>414</v>
      </c>
      <c r="C39" s="5" t="s">
        <v>426</v>
      </c>
      <c r="D39" s="5" t="s">
        <v>427</v>
      </c>
      <c r="E39" s="5" t="n">
        <v>1</v>
      </c>
      <c r="F39" s="5" t="s">
        <v>53</v>
      </c>
      <c r="G39" s="5" t="s">
        <v>67</v>
      </c>
      <c r="H39" s="5" t="s">
        <v>431</v>
      </c>
      <c r="I39" s="5" t="s">
        <v>84</v>
      </c>
      <c r="J39" s="5" t="s">
        <v>79</v>
      </c>
      <c r="K39" s="5" t="s">
        <v>196</v>
      </c>
      <c r="L39" s="5" t="s">
        <v>3245</v>
      </c>
      <c r="M39" s="5" t="s">
        <v>58</v>
      </c>
      <c r="N39" s="5" t="s">
        <v>51</v>
      </c>
    </row>
    <row r="40" customFormat="false" ht="32.8" hidden="false" customHeight="false" outlineLevel="0" collapsed="false">
      <c r="A40" s="5" t="s">
        <v>435</v>
      </c>
      <c r="B40" s="5" t="s">
        <v>414</v>
      </c>
      <c r="C40" s="5" t="s">
        <v>436</v>
      </c>
      <c r="D40" s="5" t="s">
        <v>437</v>
      </c>
      <c r="E40" s="5" t="n">
        <v>1</v>
      </c>
      <c r="F40" s="5" t="s">
        <v>164</v>
      </c>
      <c r="G40" s="5" t="s">
        <v>67</v>
      </c>
      <c r="H40" s="5" t="s">
        <v>186</v>
      </c>
      <c r="I40" s="5" t="s">
        <v>84</v>
      </c>
      <c r="J40" s="5" t="s">
        <v>79</v>
      </c>
      <c r="K40" s="5" t="s">
        <v>196</v>
      </c>
      <c r="L40" s="5" t="s">
        <v>412</v>
      </c>
      <c r="M40" s="5" t="s">
        <v>58</v>
      </c>
      <c r="N40" s="5" t="s">
        <v>51</v>
      </c>
    </row>
    <row r="41" customFormat="false" ht="32.8" hidden="false" customHeight="false" outlineLevel="0" collapsed="false">
      <c r="A41" s="5" t="s">
        <v>443</v>
      </c>
      <c r="B41" s="5" t="s">
        <v>414</v>
      </c>
      <c r="C41" s="5" t="s">
        <v>444</v>
      </c>
      <c r="D41" s="5" t="s">
        <v>445</v>
      </c>
      <c r="E41" s="5" t="n">
        <v>1</v>
      </c>
      <c r="F41" s="5" t="s">
        <v>164</v>
      </c>
      <c r="G41" s="5" t="s">
        <v>67</v>
      </c>
      <c r="H41" s="5" t="s">
        <v>448</v>
      </c>
      <c r="I41" s="5" t="s">
        <v>84</v>
      </c>
      <c r="J41" s="5" t="s">
        <v>408</v>
      </c>
      <c r="K41" s="5" t="s">
        <v>196</v>
      </c>
      <c r="L41" s="5" t="s">
        <v>412</v>
      </c>
      <c r="M41" s="5" t="s">
        <v>58</v>
      </c>
      <c r="N41" s="5" t="s">
        <v>51</v>
      </c>
    </row>
    <row r="42" customFormat="false" ht="22.35" hidden="false" customHeight="false" outlineLevel="0" collapsed="false">
      <c r="A42" s="5" t="s">
        <v>452</v>
      </c>
      <c r="B42" s="5" t="s">
        <v>414</v>
      </c>
      <c r="C42" s="5" t="s">
        <v>453</v>
      </c>
      <c r="D42" s="5" t="s">
        <v>454</v>
      </c>
      <c r="E42" s="5" t="n">
        <v>1</v>
      </c>
      <c r="F42" s="5" t="s">
        <v>53</v>
      </c>
      <c r="G42" s="5" t="s">
        <v>105</v>
      </c>
      <c r="H42" s="5" t="s">
        <v>458</v>
      </c>
      <c r="I42" s="5" t="s">
        <v>84</v>
      </c>
      <c r="J42" s="5" t="s">
        <v>79</v>
      </c>
      <c r="K42" s="5" t="s">
        <v>196</v>
      </c>
      <c r="L42" s="5" t="s">
        <v>3246</v>
      </c>
      <c r="M42" s="5" t="s">
        <v>58</v>
      </c>
      <c r="N42" s="5" t="s">
        <v>51</v>
      </c>
    </row>
    <row r="43" customFormat="false" ht="22.35" hidden="false" customHeight="false" outlineLevel="0" collapsed="false">
      <c r="A43" s="5" t="s">
        <v>462</v>
      </c>
      <c r="B43" s="5" t="s">
        <v>414</v>
      </c>
      <c r="C43" s="5" t="s">
        <v>463</v>
      </c>
      <c r="D43" s="5" t="s">
        <v>464</v>
      </c>
      <c r="E43" s="5" t="n">
        <v>1</v>
      </c>
      <c r="F43" s="5" t="s">
        <v>53</v>
      </c>
      <c r="G43" s="5" t="s">
        <v>468</v>
      </c>
      <c r="H43" s="5" t="s">
        <v>467</v>
      </c>
      <c r="I43" s="5" t="s">
        <v>51</v>
      </c>
      <c r="J43" s="5" t="s">
        <v>408</v>
      </c>
      <c r="K43" s="5" t="s">
        <v>196</v>
      </c>
      <c r="L43" s="5" t="s">
        <v>452</v>
      </c>
      <c r="M43" s="5" t="s">
        <v>58</v>
      </c>
      <c r="N43" s="5" t="s">
        <v>51</v>
      </c>
    </row>
    <row r="44" customFormat="false" ht="22.35" hidden="false" customHeight="false" outlineLevel="0" collapsed="false">
      <c r="A44" s="5" t="s">
        <v>472</v>
      </c>
      <c r="B44" s="5" t="s">
        <v>474</v>
      </c>
      <c r="C44" s="5" t="s">
        <v>475</v>
      </c>
      <c r="D44" s="5" t="s">
        <v>476</v>
      </c>
      <c r="E44" s="5" t="n">
        <v>1</v>
      </c>
      <c r="F44" s="5" t="s">
        <v>53</v>
      </c>
      <c r="G44" s="5" t="s">
        <v>105</v>
      </c>
      <c r="H44" s="5" t="s">
        <v>480</v>
      </c>
      <c r="I44" s="5" t="s">
        <v>51</v>
      </c>
      <c r="J44" s="5" t="s">
        <v>79</v>
      </c>
      <c r="K44" s="5" t="s">
        <v>196</v>
      </c>
      <c r="L44" s="5" t="s">
        <v>452</v>
      </c>
      <c r="M44" s="5" t="s">
        <v>58</v>
      </c>
      <c r="N44" s="5" t="s">
        <v>51</v>
      </c>
    </row>
    <row r="45" customFormat="false" ht="22.35" hidden="false" customHeight="false" outlineLevel="0" collapsed="false">
      <c r="A45" s="5" t="s">
        <v>484</v>
      </c>
      <c r="B45" s="5" t="s">
        <v>474</v>
      </c>
      <c r="C45" s="5" t="s">
        <v>485</v>
      </c>
      <c r="D45" s="5" t="s">
        <v>486</v>
      </c>
      <c r="E45" s="5" t="n">
        <v>1</v>
      </c>
      <c r="F45" s="5" t="s">
        <v>53</v>
      </c>
      <c r="G45" s="5" t="s">
        <v>228</v>
      </c>
      <c r="H45" s="5" t="s">
        <v>489</v>
      </c>
      <c r="I45" s="5" t="s">
        <v>51</v>
      </c>
      <c r="J45" s="5" t="s">
        <v>79</v>
      </c>
      <c r="K45" s="5" t="s">
        <v>196</v>
      </c>
      <c r="L45" s="5" t="s">
        <v>472</v>
      </c>
      <c r="M45" s="5" t="s">
        <v>58</v>
      </c>
      <c r="N45" s="5" t="s">
        <v>51</v>
      </c>
    </row>
    <row r="46" customFormat="false" ht="22.35" hidden="false" customHeight="false" outlineLevel="0" collapsed="false">
      <c r="A46" s="5" t="s">
        <v>493</v>
      </c>
      <c r="B46" s="5" t="s">
        <v>474</v>
      </c>
      <c r="C46" s="5" t="s">
        <v>494</v>
      </c>
      <c r="D46" s="5" t="s">
        <v>495</v>
      </c>
      <c r="E46" s="5" t="n">
        <v>1</v>
      </c>
      <c r="F46" s="5" t="s">
        <v>53</v>
      </c>
      <c r="G46" s="5" t="s">
        <v>498</v>
      </c>
      <c r="H46" s="5" t="s">
        <v>497</v>
      </c>
      <c r="I46" s="5" t="s">
        <v>51</v>
      </c>
      <c r="J46" s="5" t="s">
        <v>79</v>
      </c>
      <c r="K46" s="5" t="s">
        <v>196</v>
      </c>
      <c r="L46" s="5" t="s">
        <v>343</v>
      </c>
      <c r="M46" s="5" t="s">
        <v>58</v>
      </c>
      <c r="N46" s="5" t="s">
        <v>51</v>
      </c>
    </row>
    <row r="47" customFormat="false" ht="22.35" hidden="false" customHeight="false" outlineLevel="0" collapsed="false">
      <c r="A47" s="5" t="s">
        <v>502</v>
      </c>
      <c r="B47" s="5" t="s">
        <v>474</v>
      </c>
      <c r="C47" s="5" t="s">
        <v>503</v>
      </c>
      <c r="D47" s="5" t="s">
        <v>504</v>
      </c>
      <c r="E47" s="5" t="n">
        <v>1</v>
      </c>
      <c r="F47" s="5" t="s">
        <v>53</v>
      </c>
      <c r="G47" s="5" t="s">
        <v>508</v>
      </c>
      <c r="H47" s="5" t="s">
        <v>507</v>
      </c>
      <c r="I47" s="5" t="s">
        <v>51</v>
      </c>
      <c r="J47" s="5" t="s">
        <v>408</v>
      </c>
      <c r="K47" s="5" t="s">
        <v>196</v>
      </c>
      <c r="L47" s="5" t="s">
        <v>484</v>
      </c>
      <c r="M47" s="5" t="s">
        <v>58</v>
      </c>
      <c r="N47" s="5" t="s">
        <v>51</v>
      </c>
    </row>
    <row r="48" customFormat="false" ht="22.35" hidden="false" customHeight="false" outlineLevel="0" collapsed="false">
      <c r="A48" s="5" t="s">
        <v>512</v>
      </c>
      <c r="B48" s="5" t="s">
        <v>474</v>
      </c>
      <c r="C48" s="5" t="s">
        <v>513</v>
      </c>
      <c r="D48" s="5" t="s">
        <v>514</v>
      </c>
      <c r="E48" s="5" t="n">
        <v>1</v>
      </c>
      <c r="F48" s="5" t="s">
        <v>53</v>
      </c>
      <c r="G48" s="5" t="s">
        <v>518</v>
      </c>
      <c r="H48" s="5" t="s">
        <v>517</v>
      </c>
      <c r="I48" s="5" t="s">
        <v>51</v>
      </c>
      <c r="J48" s="5" t="s">
        <v>79</v>
      </c>
      <c r="K48" s="5" t="s">
        <v>196</v>
      </c>
      <c r="L48" s="5" t="s">
        <v>493</v>
      </c>
      <c r="M48" s="5" t="s">
        <v>58</v>
      </c>
      <c r="N48" s="5" t="s">
        <v>51</v>
      </c>
    </row>
    <row r="49" customFormat="false" ht="22.35" hidden="false" customHeight="false" outlineLevel="0" collapsed="false">
      <c r="A49" s="5" t="s">
        <v>522</v>
      </c>
      <c r="B49" s="5" t="s">
        <v>474</v>
      </c>
      <c r="C49" s="5" t="s">
        <v>523</v>
      </c>
      <c r="D49" s="5" t="s">
        <v>524</v>
      </c>
      <c r="E49" s="5" t="n">
        <v>1</v>
      </c>
      <c r="F49" s="5" t="s">
        <v>53</v>
      </c>
      <c r="G49" s="5" t="s">
        <v>528</v>
      </c>
      <c r="H49" s="5" t="s">
        <v>527</v>
      </c>
      <c r="I49" s="5" t="s">
        <v>51</v>
      </c>
      <c r="J49" s="5" t="s">
        <v>79</v>
      </c>
      <c r="K49" s="5" t="s">
        <v>76</v>
      </c>
      <c r="L49" s="5" t="s">
        <v>3242</v>
      </c>
      <c r="M49" s="5" t="s">
        <v>532</v>
      </c>
      <c r="N49" s="5" t="s">
        <v>51</v>
      </c>
    </row>
    <row r="50" customFormat="false" ht="32.8" hidden="false" customHeight="false" outlineLevel="0" collapsed="false">
      <c r="A50" s="5" t="s">
        <v>533</v>
      </c>
      <c r="B50" s="5" t="s">
        <v>535</v>
      </c>
      <c r="C50" s="5" t="s">
        <v>536</v>
      </c>
      <c r="D50" s="5" t="s">
        <v>537</v>
      </c>
      <c r="E50" s="5" t="n">
        <v>1</v>
      </c>
      <c r="F50" s="5" t="s">
        <v>53</v>
      </c>
      <c r="G50" s="5" t="s">
        <v>105</v>
      </c>
      <c r="H50" s="5" t="s">
        <v>542</v>
      </c>
      <c r="I50" s="5" t="s">
        <v>51</v>
      </c>
      <c r="J50" s="5" t="s">
        <v>79</v>
      </c>
      <c r="K50" s="5" t="s">
        <v>196</v>
      </c>
      <c r="L50" s="5" t="s">
        <v>540</v>
      </c>
      <c r="M50" s="5" t="s">
        <v>58</v>
      </c>
      <c r="N50" s="5" t="s">
        <v>51</v>
      </c>
    </row>
    <row r="51" customFormat="false" ht="22.35" hidden="false" customHeight="false" outlineLevel="0" collapsed="false">
      <c r="A51" s="5" t="s">
        <v>546</v>
      </c>
      <c r="B51" s="5" t="s">
        <v>535</v>
      </c>
      <c r="C51" s="5" t="s">
        <v>547</v>
      </c>
      <c r="D51" s="5" t="s">
        <v>548</v>
      </c>
      <c r="E51" s="5" t="n">
        <v>1</v>
      </c>
      <c r="F51" s="5" t="s">
        <v>53</v>
      </c>
      <c r="G51" s="5" t="s">
        <v>67</v>
      </c>
      <c r="H51" s="5" t="s">
        <v>551</v>
      </c>
      <c r="I51" s="5" t="s">
        <v>51</v>
      </c>
      <c r="J51" s="5" t="s">
        <v>79</v>
      </c>
      <c r="K51" s="5" t="s">
        <v>196</v>
      </c>
      <c r="L51" s="5" t="s">
        <v>533</v>
      </c>
      <c r="M51" s="5" t="s">
        <v>58</v>
      </c>
      <c r="N51" s="5" t="s">
        <v>51</v>
      </c>
    </row>
    <row r="52" customFormat="false" ht="22.35" hidden="false" customHeight="false" outlineLevel="0" collapsed="false">
      <c r="A52" s="5" t="s">
        <v>555</v>
      </c>
      <c r="B52" s="5" t="s">
        <v>535</v>
      </c>
      <c r="C52" s="5" t="s">
        <v>556</v>
      </c>
      <c r="D52" s="5" t="s">
        <v>557</v>
      </c>
      <c r="E52" s="5" t="n">
        <v>1</v>
      </c>
      <c r="F52" s="5" t="s">
        <v>53</v>
      </c>
      <c r="G52" s="5" t="s">
        <v>105</v>
      </c>
      <c r="H52" s="5" t="s">
        <v>560</v>
      </c>
      <c r="I52" s="5" t="s">
        <v>84</v>
      </c>
      <c r="J52" s="5" t="s">
        <v>79</v>
      </c>
      <c r="K52" s="5" t="s">
        <v>196</v>
      </c>
      <c r="L52" s="5" t="s">
        <v>533</v>
      </c>
      <c r="M52" s="5" t="s">
        <v>58</v>
      </c>
      <c r="N52" s="5" t="s">
        <v>51</v>
      </c>
    </row>
    <row r="53" customFormat="false" ht="32.8" hidden="false" customHeight="false" outlineLevel="0" collapsed="false">
      <c r="A53" s="5" t="s">
        <v>564</v>
      </c>
      <c r="B53" s="5" t="s">
        <v>535</v>
      </c>
      <c r="C53" s="5" t="s">
        <v>565</v>
      </c>
      <c r="D53" s="5" t="s">
        <v>566</v>
      </c>
      <c r="E53" s="5" t="n">
        <v>1</v>
      </c>
      <c r="F53" s="5" t="s">
        <v>53</v>
      </c>
      <c r="G53" s="5" t="s">
        <v>105</v>
      </c>
      <c r="H53" s="5" t="s">
        <v>570</v>
      </c>
      <c r="I53" s="5" t="s">
        <v>51</v>
      </c>
      <c r="J53" s="5" t="s">
        <v>79</v>
      </c>
      <c r="K53" s="5" t="s">
        <v>568</v>
      </c>
      <c r="L53" s="5" t="s">
        <v>533</v>
      </c>
      <c r="M53" s="5" t="s">
        <v>58</v>
      </c>
      <c r="N53" s="5" t="s">
        <v>51</v>
      </c>
    </row>
    <row r="54" customFormat="false" ht="22.35" hidden="false" customHeight="false" outlineLevel="0" collapsed="false">
      <c r="A54" s="5" t="s">
        <v>574</v>
      </c>
      <c r="B54" s="5" t="s">
        <v>535</v>
      </c>
      <c r="C54" s="5" t="s">
        <v>575</v>
      </c>
      <c r="D54" s="5" t="s">
        <v>576</v>
      </c>
      <c r="E54" s="5" t="n">
        <v>3</v>
      </c>
      <c r="F54" s="5" t="s">
        <v>164</v>
      </c>
      <c r="G54" s="5" t="s">
        <v>361</v>
      </c>
      <c r="H54" s="5" t="s">
        <v>580</v>
      </c>
      <c r="I54" s="5" t="s">
        <v>51</v>
      </c>
      <c r="J54" s="5" t="s">
        <v>79</v>
      </c>
      <c r="K54" s="5" t="s">
        <v>578</v>
      </c>
      <c r="L54" s="5" t="s">
        <v>564</v>
      </c>
      <c r="M54" s="5" t="s">
        <v>58</v>
      </c>
      <c r="N54" s="5" t="s">
        <v>51</v>
      </c>
    </row>
    <row r="55" customFormat="false" ht="22.35" hidden="false" customHeight="false" outlineLevel="0" collapsed="false">
      <c r="A55" s="5" t="s">
        <v>584</v>
      </c>
      <c r="B55" s="5" t="s">
        <v>535</v>
      </c>
      <c r="C55" s="5" t="s">
        <v>585</v>
      </c>
      <c r="D55" s="5" t="s">
        <v>586</v>
      </c>
      <c r="E55" s="5" t="n">
        <v>1</v>
      </c>
      <c r="F55" s="5" t="s">
        <v>53</v>
      </c>
      <c r="G55" s="5" t="s">
        <v>105</v>
      </c>
      <c r="H55" s="5" t="s">
        <v>589</v>
      </c>
      <c r="I55" s="5" t="s">
        <v>51</v>
      </c>
      <c r="J55" s="5" t="s">
        <v>79</v>
      </c>
      <c r="K55" s="5" t="s">
        <v>196</v>
      </c>
      <c r="L55" s="5" t="s">
        <v>533</v>
      </c>
      <c r="M55" s="5" t="s">
        <v>58</v>
      </c>
      <c r="N55" s="5" t="s">
        <v>51</v>
      </c>
    </row>
    <row r="56" customFormat="false" ht="22.35" hidden="false" customHeight="false" outlineLevel="0" collapsed="false">
      <c r="A56" s="5" t="s">
        <v>593</v>
      </c>
      <c r="B56" s="5" t="s">
        <v>535</v>
      </c>
      <c r="C56" s="5" t="s">
        <v>594</v>
      </c>
      <c r="D56" s="5" t="s">
        <v>595</v>
      </c>
      <c r="E56" s="5" t="n">
        <v>2</v>
      </c>
      <c r="F56" s="5" t="s">
        <v>53</v>
      </c>
      <c r="G56" s="5" t="s">
        <v>600</v>
      </c>
      <c r="H56" s="5" t="s">
        <v>599</v>
      </c>
      <c r="I56" s="5" t="s">
        <v>51</v>
      </c>
      <c r="J56" s="5" t="s">
        <v>79</v>
      </c>
      <c r="K56" s="5" t="s">
        <v>196</v>
      </c>
      <c r="L56" s="5" t="s">
        <v>597</v>
      </c>
      <c r="M56" s="5" t="s">
        <v>58</v>
      </c>
      <c r="N56" s="5" t="s">
        <v>51</v>
      </c>
    </row>
    <row r="57" customFormat="false" ht="22.35" hidden="false" customHeight="false" outlineLevel="0" collapsed="false">
      <c r="A57" s="5" t="s">
        <v>604</v>
      </c>
      <c r="B57" s="5" t="s">
        <v>535</v>
      </c>
      <c r="C57" s="5" t="s">
        <v>605</v>
      </c>
      <c r="D57" s="5" t="s">
        <v>606</v>
      </c>
      <c r="E57" s="5" t="n">
        <v>1</v>
      </c>
      <c r="F57" s="5" t="s">
        <v>53</v>
      </c>
      <c r="G57" s="5" t="s">
        <v>67</v>
      </c>
      <c r="H57" s="5" t="s">
        <v>610</v>
      </c>
      <c r="I57" s="5" t="s">
        <v>51</v>
      </c>
      <c r="J57" s="5" t="s">
        <v>79</v>
      </c>
      <c r="K57" s="5" t="s">
        <v>608</v>
      </c>
      <c r="L57" s="5" t="s">
        <v>546</v>
      </c>
      <c r="M57" s="5" t="s">
        <v>58</v>
      </c>
      <c r="N57" s="5" t="s">
        <v>51</v>
      </c>
    </row>
    <row r="58" customFormat="false" ht="22.35" hidden="false" customHeight="false" outlineLevel="0" collapsed="false">
      <c r="A58" s="5" t="s">
        <v>614</v>
      </c>
      <c r="B58" s="5" t="s">
        <v>616</v>
      </c>
      <c r="C58" s="5" t="s">
        <v>617</v>
      </c>
      <c r="D58" s="5" t="s">
        <v>618</v>
      </c>
      <c r="E58" s="5" t="n">
        <v>1</v>
      </c>
      <c r="F58" s="5" t="s">
        <v>53</v>
      </c>
      <c r="G58" s="5" t="s">
        <v>623</v>
      </c>
      <c r="H58" s="5" t="s">
        <v>622</v>
      </c>
      <c r="I58" s="5" t="s">
        <v>51</v>
      </c>
      <c r="J58" s="5" t="s">
        <v>52</v>
      </c>
      <c r="K58" s="5" t="s">
        <v>196</v>
      </c>
      <c r="L58" s="5" t="s">
        <v>593</v>
      </c>
      <c r="M58" s="5" t="s">
        <v>58</v>
      </c>
      <c r="N58" s="5" t="s">
        <v>51</v>
      </c>
    </row>
    <row r="59" customFormat="false" ht="22.35" hidden="false" customHeight="false" outlineLevel="0" collapsed="false">
      <c r="A59" s="5" t="s">
        <v>627</v>
      </c>
      <c r="B59" s="5" t="s">
        <v>616</v>
      </c>
      <c r="C59" s="5" t="s">
        <v>628</v>
      </c>
      <c r="D59" s="5" t="s">
        <v>629</v>
      </c>
      <c r="E59" s="5" t="n">
        <v>1</v>
      </c>
      <c r="F59" s="5" t="s">
        <v>53</v>
      </c>
      <c r="G59" s="5" t="s">
        <v>633</v>
      </c>
      <c r="H59" s="5" t="s">
        <v>632</v>
      </c>
      <c r="I59" s="5" t="s">
        <v>51</v>
      </c>
      <c r="J59" s="5" t="s">
        <v>52</v>
      </c>
      <c r="K59" s="5" t="s">
        <v>196</v>
      </c>
      <c r="L59" s="5" t="s">
        <v>3242</v>
      </c>
      <c r="M59" s="5" t="s">
        <v>58</v>
      </c>
      <c r="N59" s="5" t="s">
        <v>51</v>
      </c>
    </row>
    <row r="60" customFormat="false" ht="22.35" hidden="false" customHeight="false" outlineLevel="0" collapsed="false">
      <c r="A60" s="5" t="s">
        <v>637</v>
      </c>
      <c r="B60" s="5" t="s">
        <v>616</v>
      </c>
      <c r="C60" s="5" t="s">
        <v>638</v>
      </c>
      <c r="D60" s="5" t="s">
        <v>639</v>
      </c>
      <c r="E60" s="5" t="n">
        <v>1</v>
      </c>
      <c r="F60" s="5" t="s">
        <v>53</v>
      </c>
      <c r="G60" s="5" t="s">
        <v>105</v>
      </c>
      <c r="H60" s="5" t="s">
        <v>643</v>
      </c>
      <c r="I60" s="5" t="s">
        <v>51</v>
      </c>
      <c r="J60" s="5" t="s">
        <v>79</v>
      </c>
      <c r="K60" s="5" t="s">
        <v>196</v>
      </c>
      <c r="L60" s="5" t="s">
        <v>3242</v>
      </c>
      <c r="M60" s="5" t="s">
        <v>58</v>
      </c>
      <c r="N60" s="5" t="s">
        <v>51</v>
      </c>
    </row>
    <row r="61" customFormat="false" ht="22.35" hidden="false" customHeight="false" outlineLevel="0" collapsed="false">
      <c r="A61" s="5" t="s">
        <v>647</v>
      </c>
      <c r="B61" s="5" t="s">
        <v>616</v>
      </c>
      <c r="C61" s="5" t="s">
        <v>648</v>
      </c>
      <c r="D61" s="5" t="s">
        <v>649</v>
      </c>
      <c r="E61" s="5" t="n">
        <v>1</v>
      </c>
      <c r="F61" s="5" t="s">
        <v>53</v>
      </c>
      <c r="G61" s="5" t="s">
        <v>652</v>
      </c>
      <c r="H61" s="5" t="s">
        <v>651</v>
      </c>
      <c r="I61" s="5" t="s">
        <v>51</v>
      </c>
      <c r="J61" s="5" t="s">
        <v>52</v>
      </c>
      <c r="K61" s="5" t="s">
        <v>196</v>
      </c>
      <c r="L61" s="5" t="s">
        <v>533</v>
      </c>
      <c r="M61" s="5" t="s">
        <v>58</v>
      </c>
      <c r="N61" s="5" t="s">
        <v>51</v>
      </c>
    </row>
    <row r="62" customFormat="false" ht="22.35" hidden="false" customHeight="false" outlineLevel="0" collapsed="false">
      <c r="A62" s="5" t="s">
        <v>656</v>
      </c>
      <c r="B62" s="5" t="s">
        <v>616</v>
      </c>
      <c r="C62" s="5" t="s">
        <v>657</v>
      </c>
      <c r="D62" s="5" t="s">
        <v>658</v>
      </c>
      <c r="E62" s="5" t="n">
        <v>2</v>
      </c>
      <c r="F62" s="5" t="s">
        <v>164</v>
      </c>
      <c r="G62" s="5" t="s">
        <v>361</v>
      </c>
      <c r="H62" s="5" t="s">
        <v>662</v>
      </c>
      <c r="I62" s="5" t="s">
        <v>663</v>
      </c>
      <c r="J62" s="5" t="s">
        <v>408</v>
      </c>
      <c r="K62" s="5" t="s">
        <v>196</v>
      </c>
      <c r="L62" s="5" t="s">
        <v>3242</v>
      </c>
      <c r="M62" s="5" t="s">
        <v>58</v>
      </c>
      <c r="N62" s="5" t="s">
        <v>51</v>
      </c>
    </row>
    <row r="63" customFormat="false" ht="22.35" hidden="false" customHeight="false" outlineLevel="0" collapsed="false">
      <c r="A63" s="5" t="s">
        <v>667</v>
      </c>
      <c r="B63" s="5" t="s">
        <v>669</v>
      </c>
      <c r="C63" s="5" t="s">
        <v>670</v>
      </c>
      <c r="D63" s="5" t="s">
        <v>671</v>
      </c>
      <c r="E63" s="5" t="n">
        <v>2</v>
      </c>
      <c r="F63" s="5" t="s">
        <v>53</v>
      </c>
      <c r="G63" s="5" t="s">
        <v>361</v>
      </c>
      <c r="H63" s="5" t="s">
        <v>675</v>
      </c>
      <c r="I63" s="5" t="s">
        <v>51</v>
      </c>
      <c r="J63" s="5" t="s">
        <v>52</v>
      </c>
      <c r="K63" s="5" t="s">
        <v>673</v>
      </c>
      <c r="L63" s="5" t="s">
        <v>213</v>
      </c>
      <c r="M63" s="5" t="s">
        <v>58</v>
      </c>
      <c r="N63" s="5" t="s">
        <v>51</v>
      </c>
    </row>
    <row r="64" customFormat="false" ht="22.35" hidden="false" customHeight="false" outlineLevel="0" collapsed="false">
      <c r="A64" s="5" t="s">
        <v>679</v>
      </c>
      <c r="B64" s="5" t="s">
        <v>669</v>
      </c>
      <c r="C64" s="5" t="s">
        <v>680</v>
      </c>
      <c r="D64" s="5" t="s">
        <v>681</v>
      </c>
      <c r="E64" s="5" t="n">
        <v>2</v>
      </c>
      <c r="F64" s="5" t="s">
        <v>53</v>
      </c>
      <c r="G64" s="5" t="s">
        <v>238</v>
      </c>
      <c r="H64" s="5" t="s">
        <v>685</v>
      </c>
      <c r="I64" s="5" t="s">
        <v>51</v>
      </c>
      <c r="J64" s="5" t="s">
        <v>52</v>
      </c>
      <c r="K64" s="5" t="s">
        <v>683</v>
      </c>
      <c r="L64" s="5" t="s">
        <v>213</v>
      </c>
      <c r="M64" s="5" t="s">
        <v>58</v>
      </c>
      <c r="N64" s="5" t="s">
        <v>51</v>
      </c>
    </row>
    <row r="65" customFormat="false" ht="22.35" hidden="false" customHeight="false" outlineLevel="0" collapsed="false">
      <c r="A65" s="5" t="s">
        <v>689</v>
      </c>
      <c r="B65" s="5" t="s">
        <v>669</v>
      </c>
      <c r="C65" s="5" t="s">
        <v>690</v>
      </c>
      <c r="D65" s="5" t="s">
        <v>691</v>
      </c>
      <c r="E65" s="5" t="n">
        <v>4</v>
      </c>
      <c r="F65" s="5" t="s">
        <v>164</v>
      </c>
      <c r="G65" s="5" t="s">
        <v>379</v>
      </c>
      <c r="H65" s="5" t="s">
        <v>370</v>
      </c>
      <c r="I65" s="5" t="s">
        <v>51</v>
      </c>
      <c r="J65" s="5" t="s">
        <v>52</v>
      </c>
      <c r="K65" s="5" t="s">
        <v>693</v>
      </c>
      <c r="L65" s="5" t="s">
        <v>254</v>
      </c>
      <c r="M65" s="5" t="s">
        <v>532</v>
      </c>
      <c r="N65" s="5" t="s">
        <v>51</v>
      </c>
    </row>
    <row r="66" customFormat="false" ht="22.35" hidden="false" customHeight="false" outlineLevel="0" collapsed="false">
      <c r="A66" s="5" t="s">
        <v>698</v>
      </c>
      <c r="B66" s="5" t="s">
        <v>669</v>
      </c>
      <c r="C66" s="5" t="s">
        <v>699</v>
      </c>
      <c r="D66" s="5" t="s">
        <v>700</v>
      </c>
      <c r="E66" s="5" t="n">
        <v>2</v>
      </c>
      <c r="F66" s="5" t="s">
        <v>164</v>
      </c>
      <c r="G66" s="5" t="s">
        <v>238</v>
      </c>
      <c r="H66" s="5" t="s">
        <v>703</v>
      </c>
      <c r="I66" s="5" t="s">
        <v>51</v>
      </c>
      <c r="J66" s="5" t="s">
        <v>79</v>
      </c>
      <c r="K66" s="5" t="s">
        <v>568</v>
      </c>
      <c r="L66" s="5" t="s">
        <v>702</v>
      </c>
      <c r="M66" s="5" t="s">
        <v>58</v>
      </c>
      <c r="N66" s="5" t="s">
        <v>51</v>
      </c>
    </row>
    <row r="67" customFormat="false" ht="32.8" hidden="false" customHeight="false" outlineLevel="0" collapsed="false">
      <c r="A67" s="5" t="s">
        <v>707</v>
      </c>
      <c r="B67" s="5" t="s">
        <v>669</v>
      </c>
      <c r="C67" s="5" t="s">
        <v>708</v>
      </c>
      <c r="D67" s="5" t="s">
        <v>709</v>
      </c>
      <c r="E67" s="5" t="n">
        <v>1</v>
      </c>
      <c r="F67" s="5" t="s">
        <v>53</v>
      </c>
      <c r="G67" s="5" t="s">
        <v>67</v>
      </c>
      <c r="H67" s="5" t="s">
        <v>685</v>
      </c>
      <c r="I67" s="5" t="s">
        <v>84</v>
      </c>
      <c r="J67" s="5" t="s">
        <v>79</v>
      </c>
      <c r="K67" s="5" t="s">
        <v>196</v>
      </c>
      <c r="L67" s="5" t="s">
        <v>263</v>
      </c>
      <c r="M67" s="5" t="s">
        <v>58</v>
      </c>
      <c r="N67" s="5" t="s">
        <v>51</v>
      </c>
    </row>
    <row r="68" customFormat="false" ht="22.35" hidden="false" customHeight="false" outlineLevel="0" collapsed="false">
      <c r="A68" s="5" t="s">
        <v>715</v>
      </c>
      <c r="B68" s="5" t="s">
        <v>717</v>
      </c>
      <c r="C68" s="5" t="s">
        <v>718</v>
      </c>
      <c r="D68" s="5" t="s">
        <v>719</v>
      </c>
      <c r="E68" s="5" t="n">
        <v>1</v>
      </c>
      <c r="F68" s="5" t="s">
        <v>53</v>
      </c>
      <c r="G68" s="5" t="s">
        <v>67</v>
      </c>
      <c r="H68" s="5" t="s">
        <v>685</v>
      </c>
      <c r="I68" s="5" t="s">
        <v>51</v>
      </c>
      <c r="J68" s="5" t="s">
        <v>52</v>
      </c>
      <c r="K68" s="5" t="s">
        <v>721</v>
      </c>
      <c r="L68" s="5" t="s">
        <v>203</v>
      </c>
      <c r="M68" s="5" t="s">
        <v>58</v>
      </c>
      <c r="N68" s="5" t="s">
        <v>51</v>
      </c>
    </row>
    <row r="69" customFormat="false" ht="22.35" hidden="false" customHeight="false" outlineLevel="0" collapsed="false">
      <c r="A69" s="5" t="s">
        <v>726</v>
      </c>
      <c r="B69" s="5" t="s">
        <v>717</v>
      </c>
      <c r="C69" s="5" t="s">
        <v>727</v>
      </c>
      <c r="D69" s="5" t="s">
        <v>728</v>
      </c>
      <c r="E69" s="5" t="n">
        <v>3</v>
      </c>
      <c r="F69" s="5" t="s">
        <v>164</v>
      </c>
      <c r="G69" s="5" t="s">
        <v>732</v>
      </c>
      <c r="H69" s="5" t="s">
        <v>731</v>
      </c>
      <c r="I69" s="5" t="s">
        <v>51</v>
      </c>
      <c r="J69" s="5" t="s">
        <v>52</v>
      </c>
      <c r="K69" s="5" t="s">
        <v>683</v>
      </c>
      <c r="L69" s="5" t="s">
        <v>715</v>
      </c>
      <c r="M69" s="5" t="s">
        <v>58</v>
      </c>
      <c r="N69" s="5" t="s">
        <v>51</v>
      </c>
    </row>
    <row r="70" customFormat="false" ht="22.35" hidden="false" customHeight="false" outlineLevel="0" collapsed="false">
      <c r="A70" s="5" t="s">
        <v>736</v>
      </c>
      <c r="B70" s="5" t="s">
        <v>717</v>
      </c>
      <c r="C70" s="5" t="s">
        <v>737</v>
      </c>
      <c r="D70" s="5" t="s">
        <v>738</v>
      </c>
      <c r="E70" s="5" t="n">
        <v>2</v>
      </c>
      <c r="F70" s="5" t="s">
        <v>53</v>
      </c>
      <c r="G70" s="5" t="s">
        <v>238</v>
      </c>
      <c r="H70" s="5" t="s">
        <v>370</v>
      </c>
      <c r="I70" s="5" t="s">
        <v>51</v>
      </c>
      <c r="J70" s="5" t="s">
        <v>66</v>
      </c>
      <c r="K70" s="5" t="s">
        <v>693</v>
      </c>
      <c r="L70" s="5" t="s">
        <v>715</v>
      </c>
      <c r="M70" s="5" t="s">
        <v>532</v>
      </c>
      <c r="N70" s="5" t="s">
        <v>51</v>
      </c>
    </row>
    <row r="71" customFormat="false" ht="22.35" hidden="false" customHeight="false" outlineLevel="0" collapsed="false">
      <c r="A71" s="5" t="s">
        <v>744</v>
      </c>
      <c r="B71" s="5" t="s">
        <v>746</v>
      </c>
      <c r="C71" s="5" t="s">
        <v>747</v>
      </c>
      <c r="D71" s="5" t="s">
        <v>748</v>
      </c>
      <c r="E71" s="5" t="n">
        <v>1</v>
      </c>
      <c r="F71" s="5" t="s">
        <v>53</v>
      </c>
      <c r="G71" s="5" t="s">
        <v>67</v>
      </c>
      <c r="H71" s="5" t="s">
        <v>752</v>
      </c>
      <c r="I71" s="5" t="s">
        <v>51</v>
      </c>
      <c r="J71" s="5" t="s">
        <v>79</v>
      </c>
      <c r="K71" s="5" t="s">
        <v>750</v>
      </c>
      <c r="L71" s="5" t="s">
        <v>593</v>
      </c>
      <c r="M71" s="5" t="s">
        <v>58</v>
      </c>
      <c r="N71" s="5" t="s">
        <v>51</v>
      </c>
    </row>
    <row r="72" customFormat="false" ht="22.35" hidden="false" customHeight="false" outlineLevel="0" collapsed="false">
      <c r="A72" s="5" t="s">
        <v>756</v>
      </c>
      <c r="B72" s="5" t="s">
        <v>746</v>
      </c>
      <c r="C72" s="5" t="s">
        <v>757</v>
      </c>
      <c r="D72" s="5" t="s">
        <v>758</v>
      </c>
      <c r="E72" s="5" t="n">
        <v>1</v>
      </c>
      <c r="F72" s="5" t="s">
        <v>53</v>
      </c>
      <c r="G72" s="5" t="s">
        <v>67</v>
      </c>
      <c r="H72" s="5" t="s">
        <v>761</v>
      </c>
      <c r="I72" s="5" t="s">
        <v>84</v>
      </c>
      <c r="J72" s="5" t="s">
        <v>79</v>
      </c>
      <c r="K72" s="5" t="s">
        <v>196</v>
      </c>
      <c r="L72" s="5" t="s">
        <v>744</v>
      </c>
      <c r="M72" s="5" t="s">
        <v>58</v>
      </c>
      <c r="N72" s="5" t="s">
        <v>51</v>
      </c>
    </row>
    <row r="73" customFormat="false" ht="22.35" hidden="false" customHeight="false" outlineLevel="0" collapsed="false">
      <c r="A73" s="5" t="s">
        <v>765</v>
      </c>
      <c r="B73" s="5" t="s">
        <v>746</v>
      </c>
      <c r="C73" s="5" t="s">
        <v>766</v>
      </c>
      <c r="D73" s="5" t="s">
        <v>767</v>
      </c>
      <c r="E73" s="5" t="n">
        <v>7</v>
      </c>
      <c r="F73" s="5" t="s">
        <v>164</v>
      </c>
      <c r="G73" s="5" t="s">
        <v>771</v>
      </c>
      <c r="H73" s="5" t="s">
        <v>770</v>
      </c>
      <c r="I73" s="5" t="s">
        <v>84</v>
      </c>
      <c r="J73" s="5" t="s">
        <v>408</v>
      </c>
      <c r="K73" s="5" t="s">
        <v>750</v>
      </c>
      <c r="L73" s="5" t="s">
        <v>744</v>
      </c>
      <c r="M73" s="5" t="s">
        <v>774</v>
      </c>
      <c r="N73" s="5" t="s">
        <v>51</v>
      </c>
    </row>
    <row r="74" customFormat="false" ht="22.35" hidden="false" customHeight="false" outlineLevel="0" collapsed="false">
      <c r="A74" s="5" t="s">
        <v>775</v>
      </c>
      <c r="B74" s="5" t="s">
        <v>746</v>
      </c>
      <c r="C74" s="5" t="s">
        <v>776</v>
      </c>
      <c r="D74" s="5" t="s">
        <v>777</v>
      </c>
      <c r="E74" s="5" t="n">
        <v>20</v>
      </c>
      <c r="F74" s="5" t="s">
        <v>781</v>
      </c>
      <c r="G74" s="5" t="s">
        <v>782</v>
      </c>
      <c r="H74" s="5" t="s">
        <v>780</v>
      </c>
      <c r="I74" s="5" t="s">
        <v>84</v>
      </c>
      <c r="J74" s="5" t="s">
        <v>408</v>
      </c>
      <c r="K74" s="5" t="s">
        <v>750</v>
      </c>
      <c r="L74" s="5" t="s">
        <v>744</v>
      </c>
      <c r="M74" s="5" t="s">
        <v>774</v>
      </c>
      <c r="N74" s="5" t="s">
        <v>51</v>
      </c>
    </row>
    <row r="75" customFormat="false" ht="22.35" hidden="false" customHeight="false" outlineLevel="0" collapsed="false">
      <c r="A75" s="5" t="s">
        <v>786</v>
      </c>
      <c r="B75" s="5" t="s">
        <v>788</v>
      </c>
      <c r="C75" s="5" t="s">
        <v>789</v>
      </c>
      <c r="D75" s="5" t="s">
        <v>790</v>
      </c>
      <c r="E75" s="5" t="n">
        <v>1</v>
      </c>
      <c r="F75" s="5" t="s">
        <v>53</v>
      </c>
      <c r="G75" s="5" t="s">
        <v>67</v>
      </c>
      <c r="H75" s="5" t="s">
        <v>793</v>
      </c>
      <c r="I75" s="5" t="s">
        <v>51</v>
      </c>
      <c r="J75" s="5" t="s">
        <v>79</v>
      </c>
      <c r="K75" s="5" t="s">
        <v>196</v>
      </c>
      <c r="L75" s="5" t="s">
        <v>272</v>
      </c>
      <c r="M75" s="5" t="s">
        <v>58</v>
      </c>
      <c r="N75" s="5" t="s">
        <v>51</v>
      </c>
    </row>
    <row r="76" customFormat="false" ht="22.35" hidden="false" customHeight="false" outlineLevel="0" collapsed="false">
      <c r="A76" s="5" t="s">
        <v>797</v>
      </c>
      <c r="B76" s="5" t="s">
        <v>788</v>
      </c>
      <c r="C76" s="5" t="s">
        <v>798</v>
      </c>
      <c r="D76" s="5" t="s">
        <v>799</v>
      </c>
      <c r="E76" s="5" t="n">
        <v>2</v>
      </c>
      <c r="F76" s="5" t="s">
        <v>53</v>
      </c>
      <c r="G76" s="5" t="s">
        <v>802</v>
      </c>
      <c r="H76" s="5" t="s">
        <v>752</v>
      </c>
      <c r="I76" s="5" t="s">
        <v>51</v>
      </c>
      <c r="J76" s="5" t="s">
        <v>79</v>
      </c>
      <c r="K76" s="5" t="s">
        <v>196</v>
      </c>
      <c r="L76" s="5" t="s">
        <v>786</v>
      </c>
      <c r="M76" s="5" t="s">
        <v>58</v>
      </c>
      <c r="N76" s="5" t="s">
        <v>51</v>
      </c>
    </row>
    <row r="77" customFormat="false" ht="22.35" hidden="false" customHeight="false" outlineLevel="0" collapsed="false">
      <c r="A77" s="5" t="s">
        <v>805</v>
      </c>
      <c r="B77" s="5" t="s">
        <v>788</v>
      </c>
      <c r="C77" s="5" t="s">
        <v>806</v>
      </c>
      <c r="D77" s="5" t="s">
        <v>807</v>
      </c>
      <c r="E77" s="5" t="n">
        <v>1</v>
      </c>
      <c r="F77" s="5" t="s">
        <v>53</v>
      </c>
      <c r="G77" s="5" t="s">
        <v>811</v>
      </c>
      <c r="H77" s="5" t="s">
        <v>810</v>
      </c>
      <c r="I77" s="5" t="s">
        <v>51</v>
      </c>
      <c r="J77" s="5" t="s">
        <v>52</v>
      </c>
      <c r="K77" s="5" t="s">
        <v>196</v>
      </c>
      <c r="L77" s="5" t="s">
        <v>797</v>
      </c>
      <c r="M77" s="5" t="s">
        <v>58</v>
      </c>
      <c r="N77" s="5" t="s">
        <v>51</v>
      </c>
    </row>
    <row r="78" customFormat="false" ht="22.35" hidden="false" customHeight="false" outlineLevel="0" collapsed="false">
      <c r="A78" s="5" t="s">
        <v>815</v>
      </c>
      <c r="B78" s="5" t="s">
        <v>788</v>
      </c>
      <c r="C78" s="5" t="s">
        <v>816</v>
      </c>
      <c r="D78" s="5" t="s">
        <v>817</v>
      </c>
      <c r="E78" s="5" t="n">
        <v>1</v>
      </c>
      <c r="F78" s="5" t="s">
        <v>53</v>
      </c>
      <c r="G78" s="5" t="s">
        <v>176</v>
      </c>
      <c r="H78" s="5" t="s">
        <v>820</v>
      </c>
      <c r="I78" s="5" t="s">
        <v>84</v>
      </c>
      <c r="J78" s="5" t="s">
        <v>79</v>
      </c>
      <c r="K78" s="5" t="s">
        <v>693</v>
      </c>
      <c r="L78" s="5" t="s">
        <v>797</v>
      </c>
      <c r="M78" s="5" t="s">
        <v>58</v>
      </c>
      <c r="N78" s="5" t="s">
        <v>51</v>
      </c>
    </row>
    <row r="79" customFormat="false" ht="22.35" hidden="false" customHeight="false" outlineLevel="0" collapsed="false">
      <c r="A79" s="5" t="s">
        <v>824</v>
      </c>
      <c r="B79" s="5" t="s">
        <v>788</v>
      </c>
      <c r="C79" s="5" t="s">
        <v>825</v>
      </c>
      <c r="D79" s="5" t="s">
        <v>826</v>
      </c>
      <c r="E79" s="5" t="n">
        <v>3</v>
      </c>
      <c r="F79" s="5" t="s">
        <v>53</v>
      </c>
      <c r="G79" s="5" t="s">
        <v>831</v>
      </c>
      <c r="H79" s="5" t="s">
        <v>830</v>
      </c>
      <c r="I79" s="5" t="s">
        <v>51</v>
      </c>
      <c r="J79" s="5" t="s">
        <v>79</v>
      </c>
      <c r="K79" s="5" t="s">
        <v>828</v>
      </c>
      <c r="L79" s="5" t="s">
        <v>815</v>
      </c>
      <c r="M79" s="5" t="s">
        <v>58</v>
      </c>
      <c r="N79" s="5" t="s">
        <v>84</v>
      </c>
    </row>
    <row r="80" customFormat="false" ht="22.35" hidden="false" customHeight="false" outlineLevel="0" collapsed="false">
      <c r="A80" s="5" t="s">
        <v>835</v>
      </c>
      <c r="B80" s="5" t="s">
        <v>788</v>
      </c>
      <c r="C80" s="5" t="s">
        <v>836</v>
      </c>
      <c r="D80" s="5" t="s">
        <v>837</v>
      </c>
      <c r="E80" s="5" t="n">
        <v>1</v>
      </c>
      <c r="F80" s="5" t="s">
        <v>53</v>
      </c>
      <c r="G80" s="5" t="s">
        <v>518</v>
      </c>
      <c r="H80" s="5" t="s">
        <v>840</v>
      </c>
      <c r="I80" s="5" t="s">
        <v>51</v>
      </c>
      <c r="J80" s="5" t="s">
        <v>79</v>
      </c>
      <c r="K80" s="5" t="s">
        <v>196</v>
      </c>
      <c r="L80" s="5" t="s">
        <v>805</v>
      </c>
      <c r="M80" s="5" t="s">
        <v>58</v>
      </c>
      <c r="N80" s="5" t="s">
        <v>51</v>
      </c>
    </row>
    <row r="81" customFormat="false" ht="22.35" hidden="false" customHeight="false" outlineLevel="0" collapsed="false">
      <c r="A81" s="5" t="s">
        <v>844</v>
      </c>
      <c r="B81" s="5" t="s">
        <v>846</v>
      </c>
      <c r="C81" s="5" t="s">
        <v>847</v>
      </c>
      <c r="D81" s="5" t="s">
        <v>848</v>
      </c>
      <c r="E81" s="5" t="n">
        <v>6</v>
      </c>
      <c r="F81" s="5" t="s">
        <v>164</v>
      </c>
      <c r="G81" s="5" t="s">
        <v>853</v>
      </c>
      <c r="H81" s="5" t="s">
        <v>852</v>
      </c>
      <c r="I81" s="5" t="s">
        <v>84</v>
      </c>
      <c r="J81" s="5" t="s">
        <v>408</v>
      </c>
      <c r="K81" s="5" t="s">
        <v>693</v>
      </c>
      <c r="L81" s="5" t="s">
        <v>850</v>
      </c>
      <c r="M81" s="5" t="s">
        <v>774</v>
      </c>
      <c r="N81" s="5" t="s">
        <v>51</v>
      </c>
    </row>
    <row r="82" customFormat="false" ht="22.35" hidden="false" customHeight="false" outlineLevel="0" collapsed="false">
      <c r="A82" s="5" t="s">
        <v>857</v>
      </c>
      <c r="B82" s="5" t="s">
        <v>846</v>
      </c>
      <c r="C82" s="5" t="s">
        <v>858</v>
      </c>
      <c r="D82" s="5" t="s">
        <v>859</v>
      </c>
      <c r="E82" s="5" t="n">
        <v>3</v>
      </c>
      <c r="F82" s="5" t="s">
        <v>164</v>
      </c>
      <c r="G82" s="5" t="s">
        <v>862</v>
      </c>
      <c r="H82" s="5" t="s">
        <v>685</v>
      </c>
      <c r="I82" s="5" t="s">
        <v>84</v>
      </c>
      <c r="J82" s="5" t="s">
        <v>408</v>
      </c>
      <c r="K82" s="5" t="s">
        <v>693</v>
      </c>
      <c r="L82" s="5" t="s">
        <v>844</v>
      </c>
      <c r="M82" s="5" t="s">
        <v>774</v>
      </c>
      <c r="N82" s="5" t="s">
        <v>51</v>
      </c>
    </row>
    <row r="83" customFormat="false" ht="22.35" hidden="false" customHeight="false" outlineLevel="0" collapsed="false">
      <c r="A83" s="5" t="s">
        <v>866</v>
      </c>
      <c r="B83" s="5" t="s">
        <v>846</v>
      </c>
      <c r="C83" s="5" t="s">
        <v>867</v>
      </c>
      <c r="D83" s="5" t="s">
        <v>868</v>
      </c>
      <c r="E83" s="5" t="n">
        <v>1</v>
      </c>
      <c r="F83" s="5" t="s">
        <v>53</v>
      </c>
      <c r="G83" s="5" t="s">
        <v>873</v>
      </c>
      <c r="H83" s="5" t="s">
        <v>872</v>
      </c>
      <c r="I83" s="5" t="s">
        <v>51</v>
      </c>
      <c r="J83" s="5" t="s">
        <v>52</v>
      </c>
      <c r="K83" s="5" t="s">
        <v>693</v>
      </c>
      <c r="L83" s="5" t="s">
        <v>870</v>
      </c>
      <c r="M83" s="5" t="s">
        <v>532</v>
      </c>
      <c r="N83" s="5" t="s">
        <v>51</v>
      </c>
    </row>
    <row r="84" customFormat="false" ht="22.35" hidden="false" customHeight="false" outlineLevel="0" collapsed="false">
      <c r="A84" s="5" t="s">
        <v>877</v>
      </c>
      <c r="B84" s="5" t="s">
        <v>846</v>
      </c>
      <c r="C84" s="5" t="s">
        <v>878</v>
      </c>
      <c r="D84" s="5" t="s">
        <v>879</v>
      </c>
      <c r="E84" s="5" t="n">
        <v>2</v>
      </c>
      <c r="F84" s="5" t="s">
        <v>53</v>
      </c>
      <c r="G84" s="5" t="s">
        <v>238</v>
      </c>
      <c r="H84" s="5" t="s">
        <v>685</v>
      </c>
      <c r="I84" s="5" t="s">
        <v>51</v>
      </c>
      <c r="J84" s="5" t="s">
        <v>52</v>
      </c>
      <c r="K84" s="5" t="s">
        <v>721</v>
      </c>
      <c r="L84" s="5" t="s">
        <v>881</v>
      </c>
      <c r="M84" s="5" t="s">
        <v>58</v>
      </c>
      <c r="N84" s="5" t="s">
        <v>51</v>
      </c>
    </row>
    <row r="85" customFormat="false" ht="22.35" hidden="false" customHeight="false" outlineLevel="0" collapsed="false">
      <c r="A85" s="5" t="s">
        <v>886</v>
      </c>
      <c r="B85" s="5" t="s">
        <v>846</v>
      </c>
      <c r="C85" s="5" t="s">
        <v>887</v>
      </c>
      <c r="D85" s="5" t="s">
        <v>888</v>
      </c>
      <c r="E85" s="5" t="n">
        <v>2</v>
      </c>
      <c r="F85" s="5" t="s">
        <v>53</v>
      </c>
      <c r="G85" s="5" t="s">
        <v>238</v>
      </c>
      <c r="H85" s="5" t="s">
        <v>892</v>
      </c>
      <c r="I85" s="5" t="s">
        <v>84</v>
      </c>
      <c r="J85" s="5" t="s">
        <v>79</v>
      </c>
      <c r="K85" s="5" t="s">
        <v>673</v>
      </c>
      <c r="L85" s="5" t="s">
        <v>3247</v>
      </c>
      <c r="M85" s="5" t="s">
        <v>58</v>
      </c>
      <c r="N85" s="5" t="s">
        <v>51</v>
      </c>
    </row>
    <row r="86" customFormat="false" ht="22.35" hidden="false" customHeight="false" outlineLevel="0" collapsed="false">
      <c r="A86" s="5" t="s">
        <v>896</v>
      </c>
      <c r="B86" s="5" t="s">
        <v>846</v>
      </c>
      <c r="C86" s="5" t="s">
        <v>897</v>
      </c>
      <c r="D86" s="5" t="s">
        <v>898</v>
      </c>
      <c r="E86" s="5" t="n">
        <v>5</v>
      </c>
      <c r="F86" s="5" t="s">
        <v>164</v>
      </c>
      <c r="G86" s="5" t="s">
        <v>901</v>
      </c>
      <c r="H86" s="5" t="s">
        <v>780</v>
      </c>
      <c r="I86" s="5" t="s">
        <v>84</v>
      </c>
      <c r="J86" s="5" t="s">
        <v>408</v>
      </c>
      <c r="K86" s="5" t="s">
        <v>693</v>
      </c>
      <c r="L86" s="5" t="s">
        <v>886</v>
      </c>
      <c r="M86" s="5" t="s">
        <v>774</v>
      </c>
      <c r="N86" s="5" t="s">
        <v>51</v>
      </c>
    </row>
    <row r="87" customFormat="false" ht="22.35" hidden="false" customHeight="false" outlineLevel="0" collapsed="false">
      <c r="A87" s="5" t="s">
        <v>905</v>
      </c>
      <c r="B87" s="5" t="s">
        <v>907</v>
      </c>
      <c r="C87" s="5" t="s">
        <v>908</v>
      </c>
      <c r="D87" s="5" t="s">
        <v>909</v>
      </c>
      <c r="E87" s="5" t="n">
        <v>2</v>
      </c>
      <c r="F87" s="5" t="s">
        <v>164</v>
      </c>
      <c r="G87" s="5" t="s">
        <v>361</v>
      </c>
      <c r="H87" s="5" t="s">
        <v>913</v>
      </c>
      <c r="I87" s="5" t="s">
        <v>51</v>
      </c>
      <c r="J87" s="5" t="s">
        <v>52</v>
      </c>
      <c r="K87" s="5" t="s">
        <v>750</v>
      </c>
      <c r="L87" s="5" t="s">
        <v>911</v>
      </c>
      <c r="M87" s="5" t="s">
        <v>58</v>
      </c>
      <c r="N87" s="5" t="s">
        <v>51</v>
      </c>
    </row>
    <row r="88" customFormat="false" ht="22.35" hidden="false" customHeight="false" outlineLevel="0" collapsed="false">
      <c r="A88" s="5" t="s">
        <v>917</v>
      </c>
      <c r="B88" s="5" t="s">
        <v>907</v>
      </c>
      <c r="C88" s="5" t="s">
        <v>918</v>
      </c>
      <c r="D88" s="5" t="s">
        <v>919</v>
      </c>
      <c r="E88" s="5" t="n">
        <v>2</v>
      </c>
      <c r="F88" s="5" t="s">
        <v>164</v>
      </c>
      <c r="G88" s="5" t="s">
        <v>238</v>
      </c>
      <c r="H88" s="5" t="s">
        <v>922</v>
      </c>
      <c r="I88" s="5" t="s">
        <v>84</v>
      </c>
      <c r="J88" s="5" t="s">
        <v>79</v>
      </c>
      <c r="K88" s="5" t="s">
        <v>750</v>
      </c>
      <c r="L88" s="5" t="s">
        <v>254</v>
      </c>
      <c r="M88" s="5" t="s">
        <v>58</v>
      </c>
      <c r="N88" s="5" t="s">
        <v>51</v>
      </c>
    </row>
    <row r="89" customFormat="false" ht="22.35" hidden="false" customHeight="false" outlineLevel="0" collapsed="false">
      <c r="A89" s="5" t="s">
        <v>926</v>
      </c>
      <c r="B89" s="5" t="s">
        <v>907</v>
      </c>
      <c r="C89" s="5" t="s">
        <v>927</v>
      </c>
      <c r="D89" s="5" t="s">
        <v>928</v>
      </c>
      <c r="E89" s="5" t="n">
        <v>2</v>
      </c>
      <c r="F89" s="5" t="s">
        <v>53</v>
      </c>
      <c r="G89" s="5" t="s">
        <v>238</v>
      </c>
      <c r="H89" s="5" t="s">
        <v>685</v>
      </c>
      <c r="I89" s="5" t="s">
        <v>51</v>
      </c>
      <c r="J89" s="5" t="s">
        <v>52</v>
      </c>
      <c r="K89" s="5" t="s">
        <v>750</v>
      </c>
      <c r="L89" s="5" t="s">
        <v>917</v>
      </c>
      <c r="M89" s="5" t="s">
        <v>58</v>
      </c>
      <c r="N89" s="5" t="s">
        <v>51</v>
      </c>
    </row>
    <row r="90" customFormat="false" ht="22.35" hidden="false" customHeight="false" outlineLevel="0" collapsed="false">
      <c r="A90" s="5" t="s">
        <v>934</v>
      </c>
      <c r="B90" s="5" t="s">
        <v>907</v>
      </c>
      <c r="C90" s="5" t="s">
        <v>935</v>
      </c>
      <c r="D90" s="5" t="s">
        <v>936</v>
      </c>
      <c r="E90" s="5" t="n">
        <v>1</v>
      </c>
      <c r="F90" s="5" t="s">
        <v>53</v>
      </c>
      <c r="G90" s="5" t="s">
        <v>67</v>
      </c>
      <c r="H90" s="5" t="s">
        <v>685</v>
      </c>
      <c r="I90" s="5" t="s">
        <v>51</v>
      </c>
      <c r="J90" s="5" t="s">
        <v>52</v>
      </c>
      <c r="K90" s="5" t="s">
        <v>938</v>
      </c>
      <c r="L90" s="5" t="s">
        <v>905</v>
      </c>
      <c r="M90" s="5" t="s">
        <v>58</v>
      </c>
      <c r="N90" s="5" t="s">
        <v>51</v>
      </c>
    </row>
    <row r="91" customFormat="false" ht="22.35" hidden="false" customHeight="false" outlineLevel="0" collapsed="false">
      <c r="A91" s="5" t="s">
        <v>943</v>
      </c>
      <c r="B91" s="5" t="s">
        <v>945</v>
      </c>
      <c r="C91" s="5" t="s">
        <v>946</v>
      </c>
      <c r="D91" s="5" t="s">
        <v>947</v>
      </c>
      <c r="E91" s="5" t="n">
        <v>5</v>
      </c>
      <c r="F91" s="5" t="s">
        <v>164</v>
      </c>
      <c r="G91" s="5" t="s">
        <v>950</v>
      </c>
      <c r="H91" s="5" t="s">
        <v>949</v>
      </c>
      <c r="I91" s="5" t="s">
        <v>51</v>
      </c>
      <c r="J91" s="5" t="s">
        <v>52</v>
      </c>
      <c r="K91" s="5" t="s">
        <v>750</v>
      </c>
      <c r="L91" s="5" t="s">
        <v>926</v>
      </c>
      <c r="M91" s="5" t="s">
        <v>58</v>
      </c>
      <c r="N91" s="5" t="s">
        <v>51</v>
      </c>
    </row>
    <row r="92" customFormat="false" ht="22.35" hidden="false" customHeight="false" outlineLevel="0" collapsed="false">
      <c r="A92" s="5" t="s">
        <v>954</v>
      </c>
      <c r="B92" s="5" t="s">
        <v>945</v>
      </c>
      <c r="C92" s="5" t="s">
        <v>955</v>
      </c>
      <c r="D92" s="5" t="s">
        <v>956</v>
      </c>
      <c r="E92" s="5" t="n">
        <v>1</v>
      </c>
      <c r="F92" s="5" t="s">
        <v>53</v>
      </c>
      <c r="G92" s="5" t="s">
        <v>67</v>
      </c>
      <c r="H92" s="5" t="s">
        <v>162</v>
      </c>
      <c r="I92" s="5" t="s">
        <v>84</v>
      </c>
      <c r="J92" s="5" t="s">
        <v>52</v>
      </c>
      <c r="K92" s="5" t="s">
        <v>938</v>
      </c>
      <c r="L92" s="5" t="s">
        <v>943</v>
      </c>
      <c r="M92" s="5" t="s">
        <v>58</v>
      </c>
      <c r="N92" s="5" t="s">
        <v>51</v>
      </c>
    </row>
    <row r="93" customFormat="false" ht="22.35" hidden="false" customHeight="false" outlineLevel="0" collapsed="false">
      <c r="A93" s="5" t="s">
        <v>961</v>
      </c>
      <c r="B93" s="5" t="s">
        <v>945</v>
      </c>
      <c r="C93" s="5" t="s">
        <v>962</v>
      </c>
      <c r="D93" s="5" t="s">
        <v>963</v>
      </c>
      <c r="E93" s="5" t="n">
        <v>2</v>
      </c>
      <c r="F93" s="5" t="s">
        <v>53</v>
      </c>
      <c r="G93" s="5" t="s">
        <v>361</v>
      </c>
      <c r="H93" s="5" t="s">
        <v>966</v>
      </c>
      <c r="I93" s="5" t="s">
        <v>84</v>
      </c>
      <c r="J93" s="5" t="s">
        <v>52</v>
      </c>
      <c r="K93" s="5" t="s">
        <v>750</v>
      </c>
      <c r="L93" s="5" t="s">
        <v>954</v>
      </c>
      <c r="M93" s="5" t="s">
        <v>58</v>
      </c>
      <c r="N93" s="5" t="s">
        <v>51</v>
      </c>
    </row>
    <row r="94" customFormat="false" ht="22.35" hidden="false" customHeight="false" outlineLevel="0" collapsed="false">
      <c r="A94" s="5" t="s">
        <v>970</v>
      </c>
      <c r="B94" s="5" t="s">
        <v>972</v>
      </c>
      <c r="C94" s="5" t="s">
        <v>973</v>
      </c>
      <c r="D94" s="5" t="s">
        <v>974</v>
      </c>
      <c r="E94" s="5" t="n">
        <v>2</v>
      </c>
      <c r="F94" s="5" t="s">
        <v>53</v>
      </c>
      <c r="G94" s="5" t="s">
        <v>361</v>
      </c>
      <c r="H94" s="5" t="s">
        <v>949</v>
      </c>
      <c r="I94" s="5" t="s">
        <v>84</v>
      </c>
      <c r="J94" s="5" t="s">
        <v>52</v>
      </c>
      <c r="K94" s="5" t="s">
        <v>750</v>
      </c>
      <c r="L94" s="5" t="s">
        <v>744</v>
      </c>
      <c r="M94" s="5" t="s">
        <v>58</v>
      </c>
      <c r="N94" s="5" t="s">
        <v>51</v>
      </c>
    </row>
    <row r="95" customFormat="false" ht="22.35" hidden="false" customHeight="false" outlineLevel="0" collapsed="false">
      <c r="A95" s="5" t="s">
        <v>881</v>
      </c>
      <c r="B95" s="5" t="s">
        <v>972</v>
      </c>
      <c r="C95" s="5" t="s">
        <v>980</v>
      </c>
      <c r="D95" s="5" t="s">
        <v>981</v>
      </c>
      <c r="E95" s="5" t="n">
        <v>10</v>
      </c>
      <c r="F95" s="5" t="s">
        <v>781</v>
      </c>
      <c r="G95" s="5" t="s">
        <v>986</v>
      </c>
      <c r="H95" s="5" t="s">
        <v>985</v>
      </c>
      <c r="I95" s="5" t="s">
        <v>84</v>
      </c>
      <c r="J95" s="5" t="s">
        <v>79</v>
      </c>
      <c r="K95" s="5" t="s">
        <v>750</v>
      </c>
      <c r="L95" s="5" t="s">
        <v>983</v>
      </c>
      <c r="M95" s="5" t="s">
        <v>58</v>
      </c>
      <c r="N95" s="5" t="s">
        <v>51</v>
      </c>
    </row>
    <row r="96" customFormat="false" ht="22.35" hidden="false" customHeight="false" outlineLevel="0" collapsed="false">
      <c r="A96" s="5" t="s">
        <v>990</v>
      </c>
      <c r="B96" s="5" t="s">
        <v>972</v>
      </c>
      <c r="C96" s="5" t="s">
        <v>991</v>
      </c>
      <c r="D96" s="5" t="s">
        <v>992</v>
      </c>
      <c r="E96" s="5" t="n">
        <v>4</v>
      </c>
      <c r="F96" s="5" t="s">
        <v>164</v>
      </c>
      <c r="G96" s="5" t="s">
        <v>996</v>
      </c>
      <c r="H96" s="5" t="s">
        <v>995</v>
      </c>
      <c r="I96" s="5" t="s">
        <v>84</v>
      </c>
      <c r="J96" s="5" t="s">
        <v>79</v>
      </c>
      <c r="K96" s="5" t="s">
        <v>750</v>
      </c>
      <c r="L96" s="5" t="s">
        <v>881</v>
      </c>
      <c r="M96" s="5" t="s">
        <v>58</v>
      </c>
      <c r="N96" s="5" t="s">
        <v>51</v>
      </c>
    </row>
    <row r="97" customFormat="false" ht="22.35" hidden="false" customHeight="false" outlineLevel="0" collapsed="false">
      <c r="A97" s="5" t="s">
        <v>1000</v>
      </c>
      <c r="B97" s="5" t="s">
        <v>972</v>
      </c>
      <c r="C97" s="5" t="s">
        <v>1001</v>
      </c>
      <c r="D97" s="5" t="s">
        <v>1002</v>
      </c>
      <c r="E97" s="5" t="n">
        <v>2</v>
      </c>
      <c r="F97" s="5" t="s">
        <v>164</v>
      </c>
      <c r="G97" s="5" t="s">
        <v>361</v>
      </c>
      <c r="H97" s="5" t="s">
        <v>1005</v>
      </c>
      <c r="I97" s="5" t="s">
        <v>51</v>
      </c>
      <c r="J97" s="5" t="s">
        <v>52</v>
      </c>
      <c r="K97" s="5" t="s">
        <v>750</v>
      </c>
      <c r="L97" s="5" t="s">
        <v>881</v>
      </c>
      <c r="M97" s="5" t="s">
        <v>58</v>
      </c>
      <c r="N97" s="5" t="s">
        <v>51</v>
      </c>
    </row>
    <row r="98" customFormat="false" ht="22.35" hidden="false" customHeight="false" outlineLevel="0" collapsed="false">
      <c r="A98" s="5" t="s">
        <v>1009</v>
      </c>
      <c r="B98" s="5" t="s">
        <v>972</v>
      </c>
      <c r="C98" s="5" t="s">
        <v>1010</v>
      </c>
      <c r="D98" s="5" t="s">
        <v>1011</v>
      </c>
      <c r="E98" s="5" t="n">
        <v>1</v>
      </c>
      <c r="F98" s="5" t="s">
        <v>53</v>
      </c>
      <c r="G98" s="5" t="s">
        <v>67</v>
      </c>
      <c r="H98" s="5" t="s">
        <v>1014</v>
      </c>
      <c r="I98" s="5" t="s">
        <v>51</v>
      </c>
      <c r="J98" s="5" t="s">
        <v>79</v>
      </c>
      <c r="K98" s="5" t="s">
        <v>750</v>
      </c>
      <c r="L98" s="5" t="s">
        <v>881</v>
      </c>
      <c r="M98" s="5" t="s">
        <v>58</v>
      </c>
      <c r="N98" s="5" t="s">
        <v>51</v>
      </c>
    </row>
    <row r="99" customFormat="false" ht="22.35" hidden="false" customHeight="false" outlineLevel="0" collapsed="false">
      <c r="A99" s="5" t="s">
        <v>1017</v>
      </c>
      <c r="B99" s="5" t="s">
        <v>972</v>
      </c>
      <c r="C99" s="5" t="s">
        <v>1018</v>
      </c>
      <c r="D99" s="5" t="s">
        <v>1019</v>
      </c>
      <c r="E99" s="5" t="n">
        <v>2</v>
      </c>
      <c r="F99" s="5" t="s">
        <v>53</v>
      </c>
      <c r="G99" s="5" t="s">
        <v>238</v>
      </c>
      <c r="H99" s="5" t="s">
        <v>1022</v>
      </c>
      <c r="I99" s="5" t="s">
        <v>51</v>
      </c>
      <c r="J99" s="5" t="s">
        <v>52</v>
      </c>
      <c r="K99" s="5" t="s">
        <v>750</v>
      </c>
      <c r="L99" s="5" t="s">
        <v>990</v>
      </c>
      <c r="M99" s="5" t="s">
        <v>58</v>
      </c>
      <c r="N99" s="5" t="s">
        <v>51</v>
      </c>
    </row>
    <row r="100" customFormat="false" ht="22.35" hidden="false" customHeight="false" outlineLevel="0" collapsed="false">
      <c r="A100" s="5" t="s">
        <v>1025</v>
      </c>
      <c r="B100" s="5" t="s">
        <v>1027</v>
      </c>
      <c r="C100" s="5" t="s">
        <v>1028</v>
      </c>
      <c r="D100" s="5" t="s">
        <v>1029</v>
      </c>
      <c r="E100" s="5" t="n">
        <v>1</v>
      </c>
      <c r="F100" s="5" t="s">
        <v>53</v>
      </c>
      <c r="G100" s="5" t="s">
        <v>67</v>
      </c>
      <c r="H100" s="5" t="s">
        <v>1032</v>
      </c>
      <c r="I100" s="5" t="s">
        <v>51</v>
      </c>
      <c r="J100" s="5" t="s">
        <v>52</v>
      </c>
      <c r="K100" s="5" t="s">
        <v>750</v>
      </c>
      <c r="L100" s="5" t="s">
        <v>970</v>
      </c>
      <c r="M100" s="5" t="s">
        <v>58</v>
      </c>
      <c r="N100" s="5" t="s">
        <v>51</v>
      </c>
    </row>
    <row r="101" customFormat="false" ht="22.35" hidden="false" customHeight="false" outlineLevel="0" collapsed="false">
      <c r="A101" s="5" t="s">
        <v>1036</v>
      </c>
      <c r="B101" s="5" t="s">
        <v>1027</v>
      </c>
      <c r="C101" s="5" t="s">
        <v>1037</v>
      </c>
      <c r="D101" s="5" t="s">
        <v>1038</v>
      </c>
      <c r="E101" s="5" t="n">
        <v>1</v>
      </c>
      <c r="F101" s="5" t="s">
        <v>53</v>
      </c>
      <c r="G101" s="5" t="s">
        <v>67</v>
      </c>
      <c r="H101" s="5" t="s">
        <v>770</v>
      </c>
      <c r="I101" s="5" t="s">
        <v>51</v>
      </c>
      <c r="J101" s="5" t="s">
        <v>52</v>
      </c>
      <c r="K101" s="5" t="s">
        <v>750</v>
      </c>
      <c r="L101" s="5" t="s">
        <v>970</v>
      </c>
      <c r="M101" s="5" t="s">
        <v>58</v>
      </c>
      <c r="N101" s="5" t="s">
        <v>51</v>
      </c>
    </row>
    <row r="102" customFormat="false" ht="22.35" hidden="false" customHeight="false" outlineLevel="0" collapsed="false">
      <c r="A102" s="5" t="s">
        <v>1044</v>
      </c>
      <c r="B102" s="5" t="s">
        <v>1027</v>
      </c>
      <c r="C102" s="5" t="s">
        <v>1045</v>
      </c>
      <c r="D102" s="5" t="s">
        <v>1046</v>
      </c>
      <c r="E102" s="5" t="n">
        <v>1</v>
      </c>
      <c r="F102" s="5" t="s">
        <v>53</v>
      </c>
      <c r="G102" s="5" t="s">
        <v>67</v>
      </c>
      <c r="H102" s="5" t="s">
        <v>770</v>
      </c>
      <c r="I102" s="5" t="s">
        <v>51</v>
      </c>
      <c r="J102" s="5" t="s">
        <v>52</v>
      </c>
      <c r="K102" s="5" t="s">
        <v>750</v>
      </c>
      <c r="L102" s="5" t="s">
        <v>970</v>
      </c>
      <c r="M102" s="5" t="s">
        <v>58</v>
      </c>
      <c r="N102" s="5" t="s">
        <v>51</v>
      </c>
    </row>
    <row r="103" customFormat="false" ht="22.35" hidden="false" customHeight="false" outlineLevel="0" collapsed="false">
      <c r="A103" s="5" t="s">
        <v>1052</v>
      </c>
      <c r="B103" s="5" t="s">
        <v>1027</v>
      </c>
      <c r="C103" s="5" t="s">
        <v>1053</v>
      </c>
      <c r="D103" s="5" t="s">
        <v>1054</v>
      </c>
      <c r="E103" s="5" t="n">
        <v>5</v>
      </c>
      <c r="F103" s="5" t="s">
        <v>164</v>
      </c>
      <c r="G103" s="5" t="s">
        <v>950</v>
      </c>
      <c r="H103" s="5" t="s">
        <v>1058</v>
      </c>
      <c r="I103" s="5" t="s">
        <v>51</v>
      </c>
      <c r="J103" s="5" t="s">
        <v>52</v>
      </c>
      <c r="K103" s="5" t="s">
        <v>750</v>
      </c>
      <c r="L103" s="5" t="s">
        <v>3248</v>
      </c>
      <c r="M103" s="5" t="s">
        <v>58</v>
      </c>
      <c r="N103" s="5" t="s">
        <v>51</v>
      </c>
    </row>
    <row r="104" customFormat="false" ht="22.35" hidden="false" customHeight="false" outlineLevel="0" collapsed="false">
      <c r="A104" s="5" t="s">
        <v>1061</v>
      </c>
      <c r="B104" s="5" t="s">
        <v>1027</v>
      </c>
      <c r="C104" s="5" t="s">
        <v>1062</v>
      </c>
      <c r="D104" s="5" t="s">
        <v>1063</v>
      </c>
      <c r="E104" s="5" t="n">
        <v>1</v>
      </c>
      <c r="F104" s="5" t="s">
        <v>53</v>
      </c>
      <c r="G104" s="5" t="s">
        <v>67</v>
      </c>
      <c r="H104" s="5" t="s">
        <v>1066</v>
      </c>
      <c r="I104" s="5" t="s">
        <v>51</v>
      </c>
      <c r="J104" s="5" t="s">
        <v>66</v>
      </c>
      <c r="K104" s="5" t="s">
        <v>750</v>
      </c>
      <c r="L104" s="5" t="s">
        <v>970</v>
      </c>
      <c r="M104" s="5" t="s">
        <v>58</v>
      </c>
      <c r="N104" s="5" t="s">
        <v>51</v>
      </c>
    </row>
    <row r="105" customFormat="false" ht="22.35" hidden="false" customHeight="false" outlineLevel="0" collapsed="false">
      <c r="A105" s="5" t="s">
        <v>1070</v>
      </c>
      <c r="B105" s="5" t="s">
        <v>1072</v>
      </c>
      <c r="C105" s="5" t="s">
        <v>1073</v>
      </c>
      <c r="D105" s="5" t="s">
        <v>1074</v>
      </c>
      <c r="E105" s="5" t="n">
        <v>1</v>
      </c>
      <c r="F105" s="5" t="s">
        <v>53</v>
      </c>
      <c r="G105" s="5" t="s">
        <v>67</v>
      </c>
      <c r="H105" s="5" t="s">
        <v>398</v>
      </c>
      <c r="I105" s="5" t="s">
        <v>51</v>
      </c>
      <c r="J105" s="5" t="s">
        <v>52</v>
      </c>
      <c r="K105" s="5" t="s">
        <v>750</v>
      </c>
      <c r="L105" s="5" t="s">
        <v>3249</v>
      </c>
      <c r="M105" s="5" t="s">
        <v>58</v>
      </c>
      <c r="N105" s="5" t="s">
        <v>51</v>
      </c>
    </row>
    <row r="106" customFormat="false" ht="22.35" hidden="false" customHeight="false" outlineLevel="0" collapsed="false">
      <c r="A106" s="5" t="s">
        <v>1081</v>
      </c>
      <c r="B106" s="5" t="s">
        <v>1072</v>
      </c>
      <c r="C106" s="5" t="s">
        <v>1082</v>
      </c>
      <c r="D106" s="5" t="s">
        <v>1083</v>
      </c>
      <c r="E106" s="5" t="n">
        <v>1</v>
      </c>
      <c r="F106" s="5" t="s">
        <v>53</v>
      </c>
      <c r="G106" s="5" t="s">
        <v>389</v>
      </c>
      <c r="H106" s="5" t="s">
        <v>1085</v>
      </c>
      <c r="I106" s="5" t="s">
        <v>84</v>
      </c>
      <c r="J106" s="5" t="s">
        <v>79</v>
      </c>
      <c r="K106" s="5" t="s">
        <v>196</v>
      </c>
      <c r="L106" s="5" t="s">
        <v>1070</v>
      </c>
      <c r="M106" s="5" t="s">
        <v>58</v>
      </c>
      <c r="N106" s="5" t="s">
        <v>51</v>
      </c>
    </row>
    <row r="107" customFormat="false" ht="22.35" hidden="false" customHeight="false" outlineLevel="0" collapsed="false">
      <c r="A107" s="5" t="s">
        <v>1089</v>
      </c>
      <c r="B107" s="5" t="s">
        <v>1072</v>
      </c>
      <c r="C107" s="5" t="s">
        <v>1090</v>
      </c>
      <c r="D107" s="5" t="s">
        <v>1091</v>
      </c>
      <c r="E107" s="5" t="n">
        <v>4</v>
      </c>
      <c r="F107" s="5" t="s">
        <v>164</v>
      </c>
      <c r="G107" s="5" t="s">
        <v>1094</v>
      </c>
      <c r="H107" s="5" t="s">
        <v>407</v>
      </c>
      <c r="I107" s="5" t="s">
        <v>84</v>
      </c>
      <c r="J107" s="5" t="s">
        <v>79</v>
      </c>
      <c r="K107" s="5" t="s">
        <v>750</v>
      </c>
      <c r="L107" s="5" t="s">
        <v>1081</v>
      </c>
      <c r="M107" s="5" t="s">
        <v>58</v>
      </c>
      <c r="N107" s="5" t="s">
        <v>51</v>
      </c>
    </row>
    <row r="108" customFormat="false" ht="22.35" hidden="false" customHeight="false" outlineLevel="0" collapsed="false">
      <c r="A108" s="5" t="s">
        <v>1097</v>
      </c>
      <c r="B108" s="5" t="s">
        <v>1072</v>
      </c>
      <c r="C108" s="5" t="s">
        <v>1098</v>
      </c>
      <c r="D108" s="5" t="s">
        <v>1099</v>
      </c>
      <c r="E108" s="5" t="n">
        <v>1</v>
      </c>
      <c r="F108" s="5" t="s">
        <v>53</v>
      </c>
      <c r="G108" s="5" t="s">
        <v>1103</v>
      </c>
      <c r="H108" s="5" t="s">
        <v>1102</v>
      </c>
      <c r="I108" s="5" t="s">
        <v>84</v>
      </c>
      <c r="J108" s="5" t="s">
        <v>79</v>
      </c>
      <c r="K108" s="5" t="s">
        <v>196</v>
      </c>
      <c r="L108" s="5" t="s">
        <v>1089</v>
      </c>
      <c r="M108" s="5" t="s">
        <v>58</v>
      </c>
      <c r="N108" s="5" t="s">
        <v>51</v>
      </c>
    </row>
    <row r="109" customFormat="false" ht="22.35" hidden="false" customHeight="false" outlineLevel="0" collapsed="false">
      <c r="A109" s="5" t="s">
        <v>1107</v>
      </c>
      <c r="B109" s="5" t="s">
        <v>1109</v>
      </c>
      <c r="C109" s="5" t="s">
        <v>1110</v>
      </c>
      <c r="D109" s="5" t="s">
        <v>1111</v>
      </c>
      <c r="E109" s="5" t="n">
        <v>1</v>
      </c>
      <c r="F109" s="5" t="s">
        <v>53</v>
      </c>
      <c r="G109" s="5" t="s">
        <v>67</v>
      </c>
      <c r="H109" s="5" t="s">
        <v>1117</v>
      </c>
      <c r="I109" s="5" t="s">
        <v>51</v>
      </c>
      <c r="J109" s="5" t="s">
        <v>79</v>
      </c>
      <c r="K109" s="5" t="s">
        <v>1115</v>
      </c>
      <c r="L109" s="5" t="s">
        <v>1114</v>
      </c>
      <c r="M109" s="5" t="s">
        <v>58</v>
      </c>
      <c r="N109" s="5" t="s">
        <v>51</v>
      </c>
    </row>
    <row r="110" customFormat="false" ht="22.35" hidden="false" customHeight="false" outlineLevel="0" collapsed="false">
      <c r="A110" s="5" t="s">
        <v>1121</v>
      </c>
      <c r="B110" s="5" t="s">
        <v>1109</v>
      </c>
      <c r="C110" s="5" t="s">
        <v>1122</v>
      </c>
      <c r="D110" s="5" t="s">
        <v>1123</v>
      </c>
      <c r="E110" s="5" t="n">
        <v>1</v>
      </c>
      <c r="F110" s="5" t="s">
        <v>53</v>
      </c>
      <c r="G110" s="5" t="s">
        <v>389</v>
      </c>
      <c r="H110" s="5" t="s">
        <v>1126</v>
      </c>
      <c r="I110" s="5" t="s">
        <v>51</v>
      </c>
      <c r="J110" s="5" t="s">
        <v>52</v>
      </c>
      <c r="K110" s="5" t="s">
        <v>1115</v>
      </c>
      <c r="L110" s="5" t="s">
        <v>1107</v>
      </c>
      <c r="M110" s="5" t="s">
        <v>58</v>
      </c>
      <c r="N110" s="5" t="s">
        <v>51</v>
      </c>
    </row>
    <row r="111" customFormat="false" ht="22.35" hidden="false" customHeight="false" outlineLevel="0" collapsed="false">
      <c r="A111" s="5" t="s">
        <v>1130</v>
      </c>
      <c r="B111" s="5" t="s">
        <v>1109</v>
      </c>
      <c r="C111" s="5" t="s">
        <v>1131</v>
      </c>
      <c r="D111" s="5" t="s">
        <v>1132</v>
      </c>
      <c r="E111" s="5" t="n">
        <v>1</v>
      </c>
      <c r="F111" s="5" t="s">
        <v>53</v>
      </c>
      <c r="G111" s="5" t="s">
        <v>67</v>
      </c>
      <c r="H111" s="5" t="s">
        <v>1126</v>
      </c>
      <c r="I111" s="5" t="s">
        <v>51</v>
      </c>
      <c r="J111" s="5" t="s">
        <v>79</v>
      </c>
      <c r="K111" s="5" t="s">
        <v>1115</v>
      </c>
      <c r="L111" s="5" t="s">
        <v>1107</v>
      </c>
      <c r="M111" s="5" t="s">
        <v>58</v>
      </c>
      <c r="N111" s="5" t="s">
        <v>84</v>
      </c>
    </row>
    <row r="112" customFormat="false" ht="22.35" hidden="false" customHeight="false" outlineLevel="0" collapsed="false">
      <c r="A112" s="5" t="s">
        <v>1138</v>
      </c>
      <c r="B112" s="5" t="s">
        <v>1109</v>
      </c>
      <c r="C112" s="5" t="s">
        <v>1139</v>
      </c>
      <c r="D112" s="5" t="s">
        <v>1140</v>
      </c>
      <c r="E112" s="5" t="n">
        <v>1</v>
      </c>
      <c r="F112" s="5" t="s">
        <v>53</v>
      </c>
      <c r="G112" s="5" t="s">
        <v>67</v>
      </c>
      <c r="H112" s="5" t="s">
        <v>1126</v>
      </c>
      <c r="I112" s="5" t="s">
        <v>51</v>
      </c>
      <c r="J112" s="5" t="s">
        <v>52</v>
      </c>
      <c r="K112" s="5" t="s">
        <v>1115</v>
      </c>
      <c r="L112" s="5" t="s">
        <v>1107</v>
      </c>
      <c r="M112" s="5" t="s">
        <v>58</v>
      </c>
      <c r="N112" s="5" t="s">
        <v>51</v>
      </c>
    </row>
    <row r="113" customFormat="false" ht="22.35" hidden="false" customHeight="false" outlineLevel="0" collapsed="false">
      <c r="A113" s="5" t="s">
        <v>1146</v>
      </c>
      <c r="B113" s="5" t="s">
        <v>1109</v>
      </c>
      <c r="C113" s="5" t="s">
        <v>1147</v>
      </c>
      <c r="D113" s="5" t="s">
        <v>1148</v>
      </c>
      <c r="E113" s="5" t="n">
        <v>2</v>
      </c>
      <c r="F113" s="5" t="s">
        <v>53</v>
      </c>
      <c r="G113" s="5" t="s">
        <v>238</v>
      </c>
      <c r="H113" s="5" t="s">
        <v>1126</v>
      </c>
      <c r="I113" s="5" t="s">
        <v>51</v>
      </c>
      <c r="J113" s="5" t="s">
        <v>79</v>
      </c>
      <c r="K113" s="5" t="s">
        <v>1115</v>
      </c>
      <c r="L113" s="5" t="s">
        <v>3248</v>
      </c>
      <c r="M113" s="5" t="s">
        <v>58</v>
      </c>
      <c r="N113" s="5" t="s">
        <v>51</v>
      </c>
    </row>
    <row r="114" customFormat="false" ht="22.35" hidden="false" customHeight="false" outlineLevel="0" collapsed="false">
      <c r="A114" s="5" t="s">
        <v>1153</v>
      </c>
      <c r="B114" s="5" t="s">
        <v>1109</v>
      </c>
      <c r="C114" s="5" t="s">
        <v>1154</v>
      </c>
      <c r="D114" s="5" t="s">
        <v>1155</v>
      </c>
      <c r="E114" s="5" t="n">
        <v>2</v>
      </c>
      <c r="F114" s="5" t="s">
        <v>53</v>
      </c>
      <c r="G114" s="5" t="s">
        <v>238</v>
      </c>
      <c r="H114" s="5" t="s">
        <v>1158</v>
      </c>
      <c r="I114" s="5" t="s">
        <v>51</v>
      </c>
      <c r="J114" s="5" t="s">
        <v>79</v>
      </c>
      <c r="K114" s="5" t="s">
        <v>1115</v>
      </c>
      <c r="L114" s="5" t="s">
        <v>1036</v>
      </c>
      <c r="M114" s="5" t="s">
        <v>58</v>
      </c>
      <c r="N114" s="5" t="s">
        <v>51</v>
      </c>
    </row>
    <row r="115" customFormat="false" ht="22.35" hidden="false" customHeight="false" outlineLevel="0" collapsed="false">
      <c r="A115" s="5" t="s">
        <v>1162</v>
      </c>
      <c r="B115" s="5" t="s">
        <v>1109</v>
      </c>
      <c r="C115" s="5" t="s">
        <v>1163</v>
      </c>
      <c r="D115" s="5" t="s">
        <v>1164</v>
      </c>
      <c r="E115" s="5" t="n">
        <v>2</v>
      </c>
      <c r="F115" s="5" t="s">
        <v>53</v>
      </c>
      <c r="G115" s="5" t="s">
        <v>238</v>
      </c>
      <c r="H115" s="5" t="s">
        <v>1126</v>
      </c>
      <c r="I115" s="5" t="s">
        <v>51</v>
      </c>
      <c r="J115" s="5" t="s">
        <v>52</v>
      </c>
      <c r="K115" s="5" t="s">
        <v>1115</v>
      </c>
      <c r="L115" s="5" t="s">
        <v>1044</v>
      </c>
      <c r="M115" s="5" t="s">
        <v>58</v>
      </c>
      <c r="N115" s="5" t="s">
        <v>51</v>
      </c>
    </row>
    <row r="116" customFormat="false" ht="22.35" hidden="false" customHeight="false" outlineLevel="0" collapsed="false">
      <c r="A116" s="5" t="s">
        <v>1170</v>
      </c>
      <c r="B116" s="5" t="s">
        <v>1109</v>
      </c>
      <c r="C116" s="5" t="s">
        <v>1171</v>
      </c>
      <c r="D116" s="5" t="s">
        <v>1172</v>
      </c>
      <c r="E116" s="5" t="n">
        <v>2</v>
      </c>
      <c r="F116" s="5" t="s">
        <v>164</v>
      </c>
      <c r="G116" s="5" t="s">
        <v>361</v>
      </c>
      <c r="H116" s="5" t="s">
        <v>1175</v>
      </c>
      <c r="I116" s="5" t="s">
        <v>51</v>
      </c>
      <c r="J116" s="5" t="s">
        <v>79</v>
      </c>
      <c r="K116" s="5" t="s">
        <v>1115</v>
      </c>
      <c r="L116" s="5" t="s">
        <v>1146</v>
      </c>
      <c r="M116" s="5" t="s">
        <v>58</v>
      </c>
      <c r="N116" s="5" t="s">
        <v>51</v>
      </c>
    </row>
    <row r="117" customFormat="false" ht="22.35" hidden="false" customHeight="false" outlineLevel="0" collapsed="false">
      <c r="A117" s="5" t="s">
        <v>1179</v>
      </c>
      <c r="B117" s="5" t="s">
        <v>1109</v>
      </c>
      <c r="C117" s="5" t="s">
        <v>1180</v>
      </c>
      <c r="D117" s="5" t="s">
        <v>1181</v>
      </c>
      <c r="E117" s="5" t="n">
        <v>4</v>
      </c>
      <c r="F117" s="5" t="s">
        <v>164</v>
      </c>
      <c r="G117" s="5" t="s">
        <v>379</v>
      </c>
      <c r="H117" s="5" t="s">
        <v>1184</v>
      </c>
      <c r="I117" s="5" t="s">
        <v>51</v>
      </c>
      <c r="J117" s="5" t="s">
        <v>79</v>
      </c>
      <c r="K117" s="5" t="s">
        <v>1115</v>
      </c>
      <c r="L117" s="5" t="s">
        <v>1170</v>
      </c>
      <c r="M117" s="5" t="s">
        <v>58</v>
      </c>
      <c r="N117" s="5" t="s">
        <v>51</v>
      </c>
    </row>
    <row r="118" customFormat="false" ht="22.35" hidden="false" customHeight="false" outlineLevel="0" collapsed="false">
      <c r="A118" s="5" t="s">
        <v>1188</v>
      </c>
      <c r="B118" s="5" t="s">
        <v>1109</v>
      </c>
      <c r="C118" s="5" t="s">
        <v>1189</v>
      </c>
      <c r="D118" s="5" t="s">
        <v>1190</v>
      </c>
      <c r="E118" s="5" t="n">
        <v>2</v>
      </c>
      <c r="F118" s="5" t="s">
        <v>53</v>
      </c>
      <c r="G118" s="5" t="s">
        <v>238</v>
      </c>
      <c r="H118" s="5" t="s">
        <v>1126</v>
      </c>
      <c r="I118" s="5" t="s">
        <v>51</v>
      </c>
      <c r="J118" s="5" t="s">
        <v>79</v>
      </c>
      <c r="K118" s="5" t="s">
        <v>1115</v>
      </c>
      <c r="L118" s="5" t="s">
        <v>1146</v>
      </c>
      <c r="M118" s="5" t="s">
        <v>58</v>
      </c>
      <c r="N118" s="5" t="s">
        <v>51</v>
      </c>
    </row>
    <row r="119" customFormat="false" ht="22.35" hidden="false" customHeight="false" outlineLevel="0" collapsed="false">
      <c r="A119" s="5" t="s">
        <v>1196</v>
      </c>
      <c r="B119" s="5" t="s">
        <v>1109</v>
      </c>
      <c r="C119" s="5" t="s">
        <v>1197</v>
      </c>
      <c r="D119" s="5" t="s">
        <v>1198</v>
      </c>
      <c r="E119" s="5" t="n">
        <v>10</v>
      </c>
      <c r="F119" s="5" t="s">
        <v>781</v>
      </c>
      <c r="G119" s="5" t="s">
        <v>986</v>
      </c>
      <c r="H119" s="5" t="s">
        <v>1202</v>
      </c>
      <c r="I119" s="5" t="s">
        <v>51</v>
      </c>
      <c r="J119" s="5" t="s">
        <v>79</v>
      </c>
      <c r="K119" s="5" t="s">
        <v>1115</v>
      </c>
      <c r="L119" s="5" t="s">
        <v>3250</v>
      </c>
      <c r="M119" s="5" t="s">
        <v>58</v>
      </c>
      <c r="N119" s="5" t="s">
        <v>51</v>
      </c>
    </row>
    <row r="120" customFormat="false" ht="22.35" hidden="false" customHeight="false" outlineLevel="0" collapsed="false">
      <c r="A120" s="5" t="s">
        <v>1205</v>
      </c>
      <c r="B120" s="5" t="s">
        <v>1109</v>
      </c>
      <c r="C120" s="5" t="s">
        <v>1206</v>
      </c>
      <c r="D120" s="5" t="s">
        <v>1207</v>
      </c>
      <c r="E120" s="5" t="n">
        <v>4</v>
      </c>
      <c r="F120" s="5" t="s">
        <v>164</v>
      </c>
      <c r="G120" s="5" t="s">
        <v>996</v>
      </c>
      <c r="H120" s="5" t="s">
        <v>1210</v>
      </c>
      <c r="I120" s="5" t="s">
        <v>51</v>
      </c>
      <c r="J120" s="5" t="s">
        <v>79</v>
      </c>
      <c r="K120" s="5" t="s">
        <v>1115</v>
      </c>
      <c r="L120" s="5" t="s">
        <v>1196</v>
      </c>
      <c r="M120" s="5" t="s">
        <v>58</v>
      </c>
      <c r="N120" s="5" t="s">
        <v>51</v>
      </c>
    </row>
    <row r="121" customFormat="false" ht="22.35" hidden="false" customHeight="false" outlineLevel="0" collapsed="false">
      <c r="A121" s="5" t="s">
        <v>1212</v>
      </c>
      <c r="B121" s="5" t="s">
        <v>1109</v>
      </c>
      <c r="C121" s="5" t="s">
        <v>1213</v>
      </c>
      <c r="D121" s="5" t="s">
        <v>1214</v>
      </c>
      <c r="E121" s="5" t="n">
        <v>5</v>
      </c>
      <c r="F121" s="5" t="s">
        <v>164</v>
      </c>
      <c r="G121" s="5" t="s">
        <v>950</v>
      </c>
      <c r="H121" s="5" t="s">
        <v>1217</v>
      </c>
      <c r="I121" s="5" t="s">
        <v>51</v>
      </c>
      <c r="J121" s="5" t="s">
        <v>52</v>
      </c>
      <c r="K121" s="5" t="s">
        <v>1115</v>
      </c>
      <c r="L121" s="5" t="s">
        <v>1052</v>
      </c>
      <c r="M121" s="5" t="s">
        <v>58</v>
      </c>
      <c r="N121" s="5" t="s">
        <v>51</v>
      </c>
    </row>
    <row r="122" customFormat="false" ht="22.35" hidden="false" customHeight="false" outlineLevel="0" collapsed="false">
      <c r="A122" s="5" t="s">
        <v>1220</v>
      </c>
      <c r="B122" s="5" t="s">
        <v>1109</v>
      </c>
      <c r="C122" s="5" t="s">
        <v>1221</v>
      </c>
      <c r="D122" s="5" t="s">
        <v>1222</v>
      </c>
      <c r="E122" s="5" t="n">
        <v>2</v>
      </c>
      <c r="F122" s="5" t="s">
        <v>53</v>
      </c>
      <c r="G122" s="5" t="s">
        <v>238</v>
      </c>
      <c r="H122" s="5" t="s">
        <v>1225</v>
      </c>
      <c r="I122" s="5" t="s">
        <v>51</v>
      </c>
      <c r="J122" s="5" t="s">
        <v>79</v>
      </c>
      <c r="K122" s="5" t="s">
        <v>1115</v>
      </c>
      <c r="L122" s="5" t="s">
        <v>824</v>
      </c>
      <c r="M122" s="5" t="s">
        <v>58</v>
      </c>
      <c r="N122" s="5" t="s">
        <v>51</v>
      </c>
    </row>
    <row r="123" customFormat="false" ht="22.35" hidden="false" customHeight="false" outlineLevel="0" collapsed="false">
      <c r="A123" s="5" t="s">
        <v>1229</v>
      </c>
      <c r="B123" s="5" t="s">
        <v>1109</v>
      </c>
      <c r="C123" s="5" t="s">
        <v>1230</v>
      </c>
      <c r="D123" s="5" t="s">
        <v>1231</v>
      </c>
      <c r="E123" s="5" t="n">
        <v>2</v>
      </c>
      <c r="F123" s="5" t="s">
        <v>164</v>
      </c>
      <c r="G123" s="5" t="s">
        <v>361</v>
      </c>
      <c r="H123" s="5" t="s">
        <v>1126</v>
      </c>
      <c r="I123" s="5" t="s">
        <v>51</v>
      </c>
      <c r="J123" s="5" t="s">
        <v>79</v>
      </c>
      <c r="K123" s="5" t="s">
        <v>1115</v>
      </c>
      <c r="L123" s="5" t="s">
        <v>1233</v>
      </c>
      <c r="M123" s="5" t="s">
        <v>58</v>
      </c>
      <c r="N123" s="5" t="s">
        <v>51</v>
      </c>
    </row>
    <row r="124" customFormat="false" ht="22.35" hidden="false" customHeight="false" outlineLevel="0" collapsed="false">
      <c r="A124" s="5" t="s">
        <v>1238</v>
      </c>
      <c r="B124" s="5" t="s">
        <v>1109</v>
      </c>
      <c r="C124" s="5" t="s">
        <v>1239</v>
      </c>
      <c r="D124" s="5" t="s">
        <v>1240</v>
      </c>
      <c r="E124" s="5" t="n">
        <v>2</v>
      </c>
      <c r="F124" s="5" t="s">
        <v>53</v>
      </c>
      <c r="G124" s="5" t="s">
        <v>238</v>
      </c>
      <c r="H124" s="5" t="s">
        <v>1243</v>
      </c>
      <c r="I124" s="5" t="s">
        <v>51</v>
      </c>
      <c r="J124" s="5" t="s">
        <v>79</v>
      </c>
      <c r="K124" s="5" t="s">
        <v>1115</v>
      </c>
      <c r="L124" s="5" t="s">
        <v>1229</v>
      </c>
      <c r="M124" s="5" t="s">
        <v>58</v>
      </c>
      <c r="N124" s="5" t="s">
        <v>51</v>
      </c>
    </row>
    <row r="125" customFormat="false" ht="22.35" hidden="false" customHeight="false" outlineLevel="0" collapsed="false">
      <c r="A125" s="5" t="s">
        <v>1246</v>
      </c>
      <c r="B125" s="5" t="s">
        <v>1109</v>
      </c>
      <c r="C125" s="5" t="s">
        <v>1247</v>
      </c>
      <c r="D125" s="5" t="s">
        <v>1248</v>
      </c>
      <c r="E125" s="5" t="n">
        <v>1</v>
      </c>
      <c r="F125" s="5" t="s">
        <v>53</v>
      </c>
      <c r="G125" s="5" t="s">
        <v>67</v>
      </c>
      <c r="H125" s="5" t="s">
        <v>1126</v>
      </c>
      <c r="I125" s="5" t="s">
        <v>51</v>
      </c>
      <c r="J125" s="5" t="s">
        <v>79</v>
      </c>
      <c r="K125" s="5" t="s">
        <v>1115</v>
      </c>
      <c r="L125" s="5" t="s">
        <v>1229</v>
      </c>
      <c r="M125" s="5" t="s">
        <v>58</v>
      </c>
      <c r="N125" s="5" t="s">
        <v>51</v>
      </c>
    </row>
    <row r="126" customFormat="false" ht="22.35" hidden="false" customHeight="false" outlineLevel="0" collapsed="false">
      <c r="A126" s="5" t="s">
        <v>1254</v>
      </c>
      <c r="B126" s="5" t="s">
        <v>1109</v>
      </c>
      <c r="C126" s="5" t="s">
        <v>1255</v>
      </c>
      <c r="D126" s="5" t="s">
        <v>1256</v>
      </c>
      <c r="E126" s="5" t="n">
        <v>2</v>
      </c>
      <c r="F126" s="5" t="s">
        <v>53</v>
      </c>
      <c r="G126" s="5" t="s">
        <v>238</v>
      </c>
      <c r="H126" s="5" t="s">
        <v>1126</v>
      </c>
      <c r="I126" s="5" t="s">
        <v>51</v>
      </c>
      <c r="J126" s="5" t="s">
        <v>79</v>
      </c>
      <c r="K126" s="5" t="s">
        <v>1115</v>
      </c>
      <c r="L126" s="5" t="s">
        <v>1229</v>
      </c>
      <c r="M126" s="5" t="s">
        <v>58</v>
      </c>
      <c r="N126" s="5" t="s">
        <v>51</v>
      </c>
    </row>
    <row r="127" customFormat="false" ht="22.35" hidden="false" customHeight="false" outlineLevel="0" collapsed="false">
      <c r="A127" s="5" t="s">
        <v>1262</v>
      </c>
      <c r="B127" s="5" t="s">
        <v>1109</v>
      </c>
      <c r="C127" s="5" t="s">
        <v>1263</v>
      </c>
      <c r="D127" s="5" t="s">
        <v>1264</v>
      </c>
      <c r="E127" s="5" t="n">
        <v>2</v>
      </c>
      <c r="F127" s="5" t="s">
        <v>53</v>
      </c>
      <c r="G127" s="5" t="s">
        <v>361</v>
      </c>
      <c r="H127" s="5" t="s">
        <v>1126</v>
      </c>
      <c r="I127" s="5" t="s">
        <v>51</v>
      </c>
      <c r="J127" s="5" t="s">
        <v>66</v>
      </c>
      <c r="K127" s="5" t="s">
        <v>1115</v>
      </c>
      <c r="L127" s="5" t="s">
        <v>1196</v>
      </c>
      <c r="M127" s="5" t="s">
        <v>58</v>
      </c>
      <c r="N127" s="5" t="s">
        <v>51</v>
      </c>
    </row>
    <row r="128" customFormat="false" ht="22.35" hidden="false" customHeight="false" outlineLevel="0" collapsed="false">
      <c r="A128" s="5" t="s">
        <v>1270</v>
      </c>
      <c r="B128" s="5" t="s">
        <v>1109</v>
      </c>
      <c r="C128" s="5" t="s">
        <v>1271</v>
      </c>
      <c r="D128" s="5" t="s">
        <v>1272</v>
      </c>
      <c r="E128" s="5" t="n">
        <v>1</v>
      </c>
      <c r="F128" s="5" t="s">
        <v>53</v>
      </c>
      <c r="G128" s="5" t="s">
        <v>67</v>
      </c>
      <c r="H128" s="5" t="s">
        <v>1275</v>
      </c>
      <c r="I128" s="5" t="s">
        <v>51</v>
      </c>
      <c r="J128" s="5" t="s">
        <v>79</v>
      </c>
      <c r="K128" s="5" t="s">
        <v>1115</v>
      </c>
      <c r="L128" s="5" t="s">
        <v>1170</v>
      </c>
      <c r="M128" s="5" t="s">
        <v>58</v>
      </c>
      <c r="N128" s="5" t="s">
        <v>51</v>
      </c>
    </row>
    <row r="129" customFormat="false" ht="22.35" hidden="false" customHeight="false" outlineLevel="0" collapsed="false">
      <c r="A129" s="5" t="s">
        <v>1279</v>
      </c>
      <c r="B129" s="5" t="s">
        <v>1109</v>
      </c>
      <c r="C129" s="5" t="s">
        <v>1280</v>
      </c>
      <c r="D129" s="5" t="s">
        <v>1281</v>
      </c>
      <c r="E129" s="5" t="n">
        <v>1</v>
      </c>
      <c r="F129" s="5" t="s">
        <v>53</v>
      </c>
      <c r="G129" s="5" t="s">
        <v>389</v>
      </c>
      <c r="H129" s="5" t="s">
        <v>1126</v>
      </c>
      <c r="I129" s="5" t="s">
        <v>51</v>
      </c>
      <c r="J129" s="5" t="s">
        <v>79</v>
      </c>
      <c r="K129" s="5" t="s">
        <v>1115</v>
      </c>
      <c r="L129" s="5" t="s">
        <v>744</v>
      </c>
      <c r="M129" s="5" t="s">
        <v>58</v>
      </c>
      <c r="N129" s="5" t="s">
        <v>51</v>
      </c>
    </row>
    <row r="130" customFormat="false" ht="22.35" hidden="false" customHeight="false" outlineLevel="0" collapsed="false">
      <c r="A130" s="5" t="s">
        <v>1287</v>
      </c>
      <c r="B130" s="5" t="s">
        <v>1109</v>
      </c>
      <c r="C130" s="5" t="s">
        <v>1288</v>
      </c>
      <c r="D130" s="5" t="s">
        <v>1289</v>
      </c>
      <c r="E130" s="5" t="n">
        <v>2</v>
      </c>
      <c r="F130" s="5" t="s">
        <v>164</v>
      </c>
      <c r="G130" s="5" t="s">
        <v>361</v>
      </c>
      <c r="H130" s="5" t="s">
        <v>1126</v>
      </c>
      <c r="I130" s="5" t="s">
        <v>51</v>
      </c>
      <c r="J130" s="5" t="s">
        <v>408</v>
      </c>
      <c r="K130" s="5" t="s">
        <v>1115</v>
      </c>
      <c r="L130" s="5" t="s">
        <v>1291</v>
      </c>
      <c r="M130" s="5" t="s">
        <v>58</v>
      </c>
      <c r="N130" s="5" t="s">
        <v>51</v>
      </c>
    </row>
    <row r="131" customFormat="false" ht="22.35" hidden="false" customHeight="false" outlineLevel="0" collapsed="false">
      <c r="A131" s="5" t="s">
        <v>1296</v>
      </c>
      <c r="B131" s="5" t="s">
        <v>1109</v>
      </c>
      <c r="C131" s="5" t="s">
        <v>1297</v>
      </c>
      <c r="D131" s="5" t="s">
        <v>1298</v>
      </c>
      <c r="E131" s="5" t="n">
        <v>4</v>
      </c>
      <c r="F131" s="5" t="s">
        <v>164</v>
      </c>
      <c r="G131" s="5" t="s">
        <v>379</v>
      </c>
      <c r="H131" s="5" t="s">
        <v>1243</v>
      </c>
      <c r="I131" s="5" t="s">
        <v>84</v>
      </c>
      <c r="J131" s="5" t="s">
        <v>408</v>
      </c>
      <c r="K131" s="5" t="s">
        <v>1115</v>
      </c>
      <c r="L131" s="5" t="s">
        <v>1300</v>
      </c>
      <c r="M131" s="5" t="s">
        <v>532</v>
      </c>
      <c r="N131" s="5" t="s">
        <v>84</v>
      </c>
    </row>
    <row r="132" customFormat="false" ht="22.35" hidden="false" customHeight="false" outlineLevel="0" collapsed="false">
      <c r="A132" s="5" t="s">
        <v>1305</v>
      </c>
      <c r="B132" s="5" t="s">
        <v>1109</v>
      </c>
      <c r="C132" s="5" t="s">
        <v>1306</v>
      </c>
      <c r="D132" s="5" t="s">
        <v>1307</v>
      </c>
      <c r="E132" s="5" t="n">
        <v>1</v>
      </c>
      <c r="F132" s="5" t="s">
        <v>53</v>
      </c>
      <c r="G132" s="5" t="s">
        <v>67</v>
      </c>
      <c r="H132" s="5" t="s">
        <v>1126</v>
      </c>
      <c r="I132" s="5" t="s">
        <v>51</v>
      </c>
      <c r="J132" s="5" t="s">
        <v>66</v>
      </c>
      <c r="K132" s="5" t="s">
        <v>1115</v>
      </c>
      <c r="L132" s="5" t="s">
        <v>1205</v>
      </c>
      <c r="M132" s="5" t="s">
        <v>532</v>
      </c>
      <c r="N132" s="5" t="s">
        <v>51</v>
      </c>
    </row>
    <row r="133" customFormat="false" ht="22.35" hidden="false" customHeight="false" outlineLevel="0" collapsed="false">
      <c r="A133" s="5" t="s">
        <v>1313</v>
      </c>
      <c r="B133" s="5" t="s">
        <v>1109</v>
      </c>
      <c r="C133" s="5" t="s">
        <v>1314</v>
      </c>
      <c r="D133" s="5" t="s">
        <v>1315</v>
      </c>
      <c r="E133" s="5" t="n">
        <v>5</v>
      </c>
      <c r="F133" s="5" t="s">
        <v>164</v>
      </c>
      <c r="G133" s="5" t="s">
        <v>950</v>
      </c>
      <c r="H133" s="5" t="s">
        <v>1319</v>
      </c>
      <c r="I133" s="5" t="s">
        <v>51</v>
      </c>
      <c r="J133" s="5" t="s">
        <v>52</v>
      </c>
      <c r="K133" s="5" t="s">
        <v>1115</v>
      </c>
      <c r="L133" s="5" t="s">
        <v>3251</v>
      </c>
      <c r="M133" s="5" t="s">
        <v>58</v>
      </c>
      <c r="N133" s="5" t="s">
        <v>51</v>
      </c>
    </row>
    <row r="134" customFormat="false" ht="22.35" hidden="false" customHeight="false" outlineLevel="0" collapsed="false">
      <c r="A134" s="5" t="s">
        <v>1323</v>
      </c>
      <c r="B134" s="5" t="s">
        <v>1325</v>
      </c>
      <c r="C134" s="5" t="s">
        <v>1326</v>
      </c>
      <c r="D134" s="5" t="s">
        <v>1327</v>
      </c>
      <c r="E134" s="5" t="n">
        <v>1</v>
      </c>
      <c r="F134" s="5" t="s">
        <v>53</v>
      </c>
      <c r="G134" s="5" t="s">
        <v>67</v>
      </c>
      <c r="H134" s="5" t="s">
        <v>1126</v>
      </c>
      <c r="I134" s="5" t="s">
        <v>51</v>
      </c>
      <c r="J134" s="5" t="s">
        <v>408</v>
      </c>
      <c r="K134" s="5" t="s">
        <v>1329</v>
      </c>
      <c r="L134" s="5" t="s">
        <v>698</v>
      </c>
      <c r="M134" s="5" t="s">
        <v>58</v>
      </c>
      <c r="N134" s="5" t="s">
        <v>51</v>
      </c>
    </row>
    <row r="135" customFormat="false" ht="22.35" hidden="false" customHeight="false" outlineLevel="0" collapsed="false">
      <c r="A135" s="5" t="s">
        <v>1334</v>
      </c>
      <c r="B135" s="5" t="s">
        <v>1325</v>
      </c>
      <c r="C135" s="5" t="s">
        <v>1335</v>
      </c>
      <c r="D135" s="5" t="s">
        <v>1336</v>
      </c>
      <c r="E135" s="5" t="n">
        <v>1</v>
      </c>
      <c r="F135" s="5" t="s">
        <v>53</v>
      </c>
      <c r="G135" s="5" t="s">
        <v>67</v>
      </c>
      <c r="H135" s="5" t="s">
        <v>1339</v>
      </c>
      <c r="I135" s="5" t="s">
        <v>51</v>
      </c>
      <c r="J135" s="5" t="s">
        <v>79</v>
      </c>
      <c r="K135" s="5" t="s">
        <v>1329</v>
      </c>
      <c r="L135" s="5" t="s">
        <v>1323</v>
      </c>
      <c r="M135" s="5" t="s">
        <v>58</v>
      </c>
      <c r="N135" s="5" t="s">
        <v>84</v>
      </c>
    </row>
    <row r="136" customFormat="false" ht="22.35" hidden="false" customHeight="false" outlineLevel="0" collapsed="false">
      <c r="A136" s="5" t="s">
        <v>1343</v>
      </c>
      <c r="B136" s="5" t="s">
        <v>1325</v>
      </c>
      <c r="C136" s="5" t="s">
        <v>1344</v>
      </c>
      <c r="D136" s="5" t="s">
        <v>1345</v>
      </c>
      <c r="E136" s="5" t="n">
        <v>10</v>
      </c>
      <c r="F136" s="5" t="s">
        <v>781</v>
      </c>
      <c r="G136" s="5" t="s">
        <v>1350</v>
      </c>
      <c r="H136" s="5" t="s">
        <v>1349</v>
      </c>
      <c r="I136" s="5" t="s">
        <v>51</v>
      </c>
      <c r="J136" s="5" t="s">
        <v>408</v>
      </c>
      <c r="K136" s="5" t="s">
        <v>1329</v>
      </c>
      <c r="L136" s="5" t="s">
        <v>1347</v>
      </c>
      <c r="M136" s="5" t="s">
        <v>58</v>
      </c>
      <c r="N136" s="5" t="s">
        <v>51</v>
      </c>
    </row>
    <row r="137" customFormat="false" ht="22.35" hidden="false" customHeight="false" outlineLevel="0" collapsed="false">
      <c r="A137" s="5" t="s">
        <v>1354</v>
      </c>
      <c r="B137" s="5" t="s">
        <v>1325</v>
      </c>
      <c r="C137" s="5" t="s">
        <v>1355</v>
      </c>
      <c r="D137" s="5" t="s">
        <v>1356</v>
      </c>
      <c r="E137" s="5" t="n">
        <v>3</v>
      </c>
      <c r="F137" s="5" t="s">
        <v>164</v>
      </c>
      <c r="G137" s="5" t="s">
        <v>1361</v>
      </c>
      <c r="H137" s="5" t="s">
        <v>1360</v>
      </c>
      <c r="I137" s="5" t="s">
        <v>51</v>
      </c>
      <c r="J137" s="5" t="s">
        <v>408</v>
      </c>
      <c r="K137" s="5" t="s">
        <v>1329</v>
      </c>
      <c r="L137" s="5" t="s">
        <v>1358</v>
      </c>
      <c r="M137" s="5" t="s">
        <v>58</v>
      </c>
      <c r="N137" s="5" t="s">
        <v>51</v>
      </c>
    </row>
    <row r="138" customFormat="false" ht="22.35" hidden="false" customHeight="false" outlineLevel="0" collapsed="false">
      <c r="A138" s="5" t="s">
        <v>1365</v>
      </c>
      <c r="B138" s="5" t="s">
        <v>1325</v>
      </c>
      <c r="C138" s="5" t="s">
        <v>1366</v>
      </c>
      <c r="D138" s="5" t="s">
        <v>1367</v>
      </c>
      <c r="E138" s="5" t="n">
        <v>3</v>
      </c>
      <c r="F138" s="5" t="s">
        <v>164</v>
      </c>
      <c r="G138" s="5" t="s">
        <v>361</v>
      </c>
      <c r="H138" s="5" t="s">
        <v>1370</v>
      </c>
      <c r="I138" s="5" t="s">
        <v>51</v>
      </c>
      <c r="J138" s="5" t="s">
        <v>79</v>
      </c>
      <c r="K138" s="5" t="s">
        <v>1329</v>
      </c>
      <c r="L138" s="5" t="s">
        <v>1354</v>
      </c>
      <c r="M138" s="5" t="s">
        <v>58</v>
      </c>
      <c r="N138" s="5" t="s">
        <v>51</v>
      </c>
    </row>
    <row r="139" customFormat="false" ht="22.35" hidden="false" customHeight="false" outlineLevel="0" collapsed="false">
      <c r="A139" s="5" t="s">
        <v>1374</v>
      </c>
      <c r="B139" s="5" t="s">
        <v>1325</v>
      </c>
      <c r="C139" s="5" t="s">
        <v>1375</v>
      </c>
      <c r="D139" s="5" t="s">
        <v>1376</v>
      </c>
      <c r="E139" s="5" t="n">
        <v>2</v>
      </c>
      <c r="F139" s="5" t="s">
        <v>53</v>
      </c>
      <c r="G139" s="5" t="s">
        <v>238</v>
      </c>
      <c r="H139" s="5" t="s">
        <v>1379</v>
      </c>
      <c r="I139" s="5" t="s">
        <v>51</v>
      </c>
      <c r="J139" s="5" t="s">
        <v>79</v>
      </c>
      <c r="K139" s="5" t="s">
        <v>1329</v>
      </c>
      <c r="L139" s="5" t="s">
        <v>1323</v>
      </c>
      <c r="M139" s="5" t="s">
        <v>58</v>
      </c>
      <c r="N139" s="5" t="s">
        <v>84</v>
      </c>
    </row>
    <row r="140" customFormat="false" ht="22.35" hidden="false" customHeight="false" outlineLevel="0" collapsed="false">
      <c r="A140" s="5" t="s">
        <v>1383</v>
      </c>
      <c r="B140" s="5" t="s">
        <v>1325</v>
      </c>
      <c r="C140" s="5" t="s">
        <v>1384</v>
      </c>
      <c r="D140" s="5" t="s">
        <v>1385</v>
      </c>
      <c r="E140" s="5" t="n">
        <v>2</v>
      </c>
      <c r="F140" s="5" t="s">
        <v>53</v>
      </c>
      <c r="G140" s="5" t="s">
        <v>238</v>
      </c>
      <c r="H140" s="5" t="s">
        <v>1388</v>
      </c>
      <c r="I140" s="5" t="s">
        <v>51</v>
      </c>
      <c r="J140" s="5" t="s">
        <v>79</v>
      </c>
      <c r="K140" s="5" t="s">
        <v>1329</v>
      </c>
      <c r="L140" s="5" t="s">
        <v>1354</v>
      </c>
      <c r="M140" s="5" t="s">
        <v>58</v>
      </c>
      <c r="N140" s="5" t="s">
        <v>51</v>
      </c>
    </row>
    <row r="141" customFormat="false" ht="22.35" hidden="false" customHeight="false" outlineLevel="0" collapsed="false">
      <c r="A141" s="5" t="s">
        <v>1392</v>
      </c>
      <c r="B141" s="5" t="s">
        <v>1325</v>
      </c>
      <c r="C141" s="5" t="s">
        <v>1393</v>
      </c>
      <c r="D141" s="5" t="s">
        <v>1394</v>
      </c>
      <c r="E141" s="5" t="n">
        <v>4</v>
      </c>
      <c r="F141" s="5" t="s">
        <v>164</v>
      </c>
      <c r="G141" s="5" t="s">
        <v>1397</v>
      </c>
      <c r="H141" s="5" t="s">
        <v>1370</v>
      </c>
      <c r="I141" s="5" t="s">
        <v>51</v>
      </c>
      <c r="J141" s="5" t="s">
        <v>408</v>
      </c>
      <c r="K141" s="5" t="s">
        <v>1329</v>
      </c>
      <c r="L141" s="5" t="s">
        <v>1354</v>
      </c>
      <c r="M141" s="5" t="s">
        <v>58</v>
      </c>
      <c r="N141" s="5" t="s">
        <v>51</v>
      </c>
    </row>
    <row r="142" customFormat="false" ht="22.35" hidden="false" customHeight="false" outlineLevel="0" collapsed="false">
      <c r="A142" s="5" t="s">
        <v>1401</v>
      </c>
      <c r="B142" s="5" t="s">
        <v>1325</v>
      </c>
      <c r="C142" s="5" t="s">
        <v>1402</v>
      </c>
      <c r="D142" s="5" t="s">
        <v>1403</v>
      </c>
      <c r="E142" s="5" t="n">
        <v>2</v>
      </c>
      <c r="F142" s="5" t="s">
        <v>164</v>
      </c>
      <c r="G142" s="5" t="s">
        <v>361</v>
      </c>
      <c r="H142" s="5" t="s">
        <v>1406</v>
      </c>
      <c r="I142" s="5" t="s">
        <v>51</v>
      </c>
      <c r="J142" s="5" t="s">
        <v>408</v>
      </c>
      <c r="K142" s="5" t="s">
        <v>1329</v>
      </c>
      <c r="L142" s="5" t="s">
        <v>1343</v>
      </c>
      <c r="M142" s="5" t="s">
        <v>58</v>
      </c>
      <c r="N142" s="5" t="s">
        <v>84</v>
      </c>
    </row>
    <row r="143" customFormat="false" ht="22.35" hidden="false" customHeight="false" outlineLevel="0" collapsed="false">
      <c r="A143" s="5" t="s">
        <v>1409</v>
      </c>
      <c r="B143" s="5" t="s">
        <v>1325</v>
      </c>
      <c r="C143" s="5" t="s">
        <v>1410</v>
      </c>
      <c r="D143" s="5" t="s">
        <v>1411</v>
      </c>
      <c r="E143" s="5" t="n">
        <v>5</v>
      </c>
      <c r="F143" s="5" t="s">
        <v>164</v>
      </c>
      <c r="G143" s="5" t="s">
        <v>950</v>
      </c>
      <c r="H143" s="5" t="s">
        <v>1413</v>
      </c>
      <c r="I143" s="5" t="s">
        <v>51</v>
      </c>
      <c r="J143" s="5" t="s">
        <v>52</v>
      </c>
      <c r="K143" s="5" t="s">
        <v>1329</v>
      </c>
      <c r="L143" s="5" t="s">
        <v>1354</v>
      </c>
      <c r="M143" s="5" t="s">
        <v>58</v>
      </c>
      <c r="N143" s="5" t="s">
        <v>51</v>
      </c>
    </row>
    <row r="144" customFormat="false" ht="22.35" hidden="false" customHeight="false" outlineLevel="0" collapsed="false">
      <c r="A144" s="5" t="s">
        <v>1415</v>
      </c>
      <c r="B144" s="5" t="s">
        <v>1417</v>
      </c>
      <c r="C144" s="5" t="s">
        <v>1418</v>
      </c>
      <c r="D144" s="5" t="s">
        <v>1419</v>
      </c>
      <c r="E144" s="5" t="n">
        <v>1</v>
      </c>
      <c r="F144" s="5" t="s">
        <v>53</v>
      </c>
      <c r="G144" s="5" t="s">
        <v>67</v>
      </c>
      <c r="H144" s="5" t="s">
        <v>1421</v>
      </c>
      <c r="I144" s="5" t="s">
        <v>51</v>
      </c>
      <c r="J144" s="5" t="s">
        <v>408</v>
      </c>
      <c r="K144" s="5" t="s">
        <v>1329</v>
      </c>
      <c r="L144" s="5" t="s">
        <v>698</v>
      </c>
      <c r="M144" s="5" t="s">
        <v>58</v>
      </c>
      <c r="N144" s="5" t="s">
        <v>51</v>
      </c>
    </row>
    <row r="145" customFormat="false" ht="22.35" hidden="false" customHeight="false" outlineLevel="0" collapsed="false">
      <c r="A145" s="5" t="s">
        <v>1347</v>
      </c>
      <c r="B145" s="5" t="s">
        <v>1417</v>
      </c>
      <c r="C145" s="5" t="s">
        <v>1425</v>
      </c>
      <c r="D145" s="5" t="s">
        <v>1426</v>
      </c>
      <c r="E145" s="5" t="n">
        <v>3</v>
      </c>
      <c r="F145" s="5" t="s">
        <v>164</v>
      </c>
      <c r="G145" s="5" t="s">
        <v>831</v>
      </c>
      <c r="H145" s="5" t="s">
        <v>1429</v>
      </c>
      <c r="I145" s="5" t="s">
        <v>51</v>
      </c>
      <c r="J145" s="5" t="s">
        <v>408</v>
      </c>
      <c r="K145" s="5" t="s">
        <v>1329</v>
      </c>
      <c r="L145" s="5" t="s">
        <v>263</v>
      </c>
      <c r="M145" s="5" t="s">
        <v>58</v>
      </c>
      <c r="N145" s="5" t="s">
        <v>51</v>
      </c>
    </row>
    <row r="146" customFormat="false" ht="22.35" hidden="false" customHeight="false" outlineLevel="0" collapsed="false">
      <c r="A146" s="5" t="s">
        <v>1433</v>
      </c>
      <c r="B146" s="5" t="s">
        <v>1417</v>
      </c>
      <c r="C146" s="5" t="s">
        <v>1434</v>
      </c>
      <c r="D146" s="5" t="s">
        <v>1435</v>
      </c>
      <c r="E146" s="5" t="n">
        <v>1</v>
      </c>
      <c r="F146" s="5" t="s">
        <v>53</v>
      </c>
      <c r="G146" s="5" t="s">
        <v>67</v>
      </c>
      <c r="H146" s="5" t="s">
        <v>1217</v>
      </c>
      <c r="I146" s="5" t="s">
        <v>51</v>
      </c>
      <c r="J146" s="5" t="s">
        <v>408</v>
      </c>
      <c r="K146" s="5" t="s">
        <v>1329</v>
      </c>
      <c r="L146" s="5" t="s">
        <v>1347</v>
      </c>
      <c r="M146" s="5" t="s">
        <v>58</v>
      </c>
      <c r="N146" s="5" t="s">
        <v>84</v>
      </c>
    </row>
    <row r="147" customFormat="false" ht="22.35" hidden="false" customHeight="false" outlineLevel="0" collapsed="false">
      <c r="A147" s="5" t="s">
        <v>1441</v>
      </c>
      <c r="B147" s="5" t="s">
        <v>1417</v>
      </c>
      <c r="C147" s="5" t="s">
        <v>1442</v>
      </c>
      <c r="D147" s="5" t="s">
        <v>1443</v>
      </c>
      <c r="E147" s="5" t="n">
        <v>1</v>
      </c>
      <c r="F147" s="5" t="s">
        <v>53</v>
      </c>
      <c r="G147" s="5" t="s">
        <v>67</v>
      </c>
      <c r="H147" s="5" t="s">
        <v>1126</v>
      </c>
      <c r="I147" s="5" t="s">
        <v>51</v>
      </c>
      <c r="J147" s="5" t="s">
        <v>408</v>
      </c>
      <c r="K147" s="5" t="s">
        <v>1329</v>
      </c>
      <c r="L147" s="5" t="s">
        <v>1433</v>
      </c>
      <c r="M147" s="5" t="s">
        <v>58</v>
      </c>
      <c r="N147" s="5" t="s">
        <v>51</v>
      </c>
    </row>
    <row r="148" customFormat="false" ht="22.35" hidden="false" customHeight="false" outlineLevel="0" collapsed="false">
      <c r="A148" s="5" t="s">
        <v>1449</v>
      </c>
      <c r="B148" s="5" t="s">
        <v>1417</v>
      </c>
      <c r="C148" s="5" t="s">
        <v>1450</v>
      </c>
      <c r="D148" s="5" t="s">
        <v>1451</v>
      </c>
      <c r="E148" s="5" t="n">
        <v>1</v>
      </c>
      <c r="F148" s="5" t="s">
        <v>53</v>
      </c>
      <c r="G148" s="5" t="s">
        <v>67</v>
      </c>
      <c r="H148" s="5" t="s">
        <v>1126</v>
      </c>
      <c r="I148" s="5" t="s">
        <v>51</v>
      </c>
      <c r="J148" s="5" t="s">
        <v>408</v>
      </c>
      <c r="K148" s="5" t="s">
        <v>1329</v>
      </c>
      <c r="L148" s="5" t="s">
        <v>1347</v>
      </c>
      <c r="M148" s="5" t="s">
        <v>58</v>
      </c>
      <c r="N148" s="5" t="s">
        <v>51</v>
      </c>
    </row>
    <row r="149" customFormat="false" ht="22.35" hidden="false" customHeight="false" outlineLevel="0" collapsed="false">
      <c r="A149" s="5" t="s">
        <v>1457</v>
      </c>
      <c r="B149" s="5" t="s">
        <v>1417</v>
      </c>
      <c r="C149" s="5" t="s">
        <v>1458</v>
      </c>
      <c r="D149" s="5" t="s">
        <v>1459</v>
      </c>
      <c r="E149" s="5" t="n">
        <v>1</v>
      </c>
      <c r="F149" s="5" t="s">
        <v>53</v>
      </c>
      <c r="G149" s="5" t="s">
        <v>389</v>
      </c>
      <c r="H149" s="5" t="s">
        <v>1462</v>
      </c>
      <c r="I149" s="5" t="s">
        <v>51</v>
      </c>
      <c r="J149" s="5" t="s">
        <v>408</v>
      </c>
      <c r="K149" s="5" t="s">
        <v>1329</v>
      </c>
      <c r="L149" s="5" t="s">
        <v>1415</v>
      </c>
      <c r="M149" s="5" t="s">
        <v>58</v>
      </c>
      <c r="N149" s="5" t="s">
        <v>51</v>
      </c>
    </row>
    <row r="150" customFormat="false" ht="22.35" hidden="false" customHeight="false" outlineLevel="0" collapsed="false">
      <c r="A150" s="5" t="s">
        <v>1466</v>
      </c>
      <c r="B150" s="5" t="s">
        <v>1417</v>
      </c>
      <c r="C150" s="5" t="s">
        <v>1467</v>
      </c>
      <c r="D150" s="5" t="s">
        <v>1468</v>
      </c>
      <c r="E150" s="5" t="n">
        <v>2</v>
      </c>
      <c r="F150" s="5" t="s">
        <v>164</v>
      </c>
      <c r="G150" s="5" t="s">
        <v>238</v>
      </c>
      <c r="H150" s="5" t="s">
        <v>1473</v>
      </c>
      <c r="I150" s="5" t="s">
        <v>51</v>
      </c>
      <c r="J150" s="5" t="s">
        <v>79</v>
      </c>
      <c r="K150" s="5" t="s">
        <v>1471</v>
      </c>
      <c r="L150" s="5" t="s">
        <v>1415</v>
      </c>
      <c r="M150" s="5" t="s">
        <v>58</v>
      </c>
      <c r="N150" s="5" t="s">
        <v>84</v>
      </c>
    </row>
    <row r="151" customFormat="false" ht="22.35" hidden="false" customHeight="false" outlineLevel="0" collapsed="false">
      <c r="A151" s="5" t="s">
        <v>1477</v>
      </c>
      <c r="B151" s="5" t="s">
        <v>1479</v>
      </c>
      <c r="C151" s="5" t="s">
        <v>1480</v>
      </c>
      <c r="D151" s="5" t="s">
        <v>1481</v>
      </c>
      <c r="E151" s="5" t="n">
        <v>2</v>
      </c>
      <c r="F151" s="5" t="s">
        <v>164</v>
      </c>
      <c r="G151" s="5" t="s">
        <v>238</v>
      </c>
      <c r="H151" s="5" t="s">
        <v>1484</v>
      </c>
      <c r="I151" s="5" t="s">
        <v>51</v>
      </c>
      <c r="J151" s="5" t="s">
        <v>408</v>
      </c>
      <c r="K151" s="5" t="s">
        <v>1329</v>
      </c>
      <c r="L151" s="5" t="s">
        <v>263</v>
      </c>
      <c r="M151" s="5" t="s">
        <v>58</v>
      </c>
      <c r="N151" s="5" t="s">
        <v>51</v>
      </c>
    </row>
    <row r="152" customFormat="false" ht="22.35" hidden="false" customHeight="false" outlineLevel="0" collapsed="false">
      <c r="A152" s="5" t="s">
        <v>1487</v>
      </c>
      <c r="B152" s="5" t="s">
        <v>1479</v>
      </c>
      <c r="C152" s="5" t="s">
        <v>1488</v>
      </c>
      <c r="D152" s="5" t="s">
        <v>1489</v>
      </c>
      <c r="E152" s="5" t="n">
        <v>7</v>
      </c>
      <c r="F152" s="5" t="s">
        <v>164</v>
      </c>
      <c r="G152" s="5" t="s">
        <v>771</v>
      </c>
      <c r="H152" s="5" t="s">
        <v>1349</v>
      </c>
      <c r="I152" s="5" t="s">
        <v>51</v>
      </c>
      <c r="J152" s="5" t="s">
        <v>408</v>
      </c>
      <c r="K152" s="5" t="s">
        <v>1491</v>
      </c>
      <c r="L152" s="5" t="s">
        <v>1477</v>
      </c>
      <c r="M152" s="5" t="s">
        <v>58</v>
      </c>
      <c r="N152" s="5" t="s">
        <v>51</v>
      </c>
    </row>
    <row r="153" customFormat="false" ht="22.35" hidden="false" customHeight="false" outlineLevel="0" collapsed="false">
      <c r="A153" s="5" t="s">
        <v>1496</v>
      </c>
      <c r="B153" s="5" t="s">
        <v>1479</v>
      </c>
      <c r="C153" s="5" t="s">
        <v>1497</v>
      </c>
      <c r="D153" s="5" t="s">
        <v>1498</v>
      </c>
      <c r="E153" s="5" t="n">
        <v>4</v>
      </c>
      <c r="F153" s="5" t="s">
        <v>164</v>
      </c>
      <c r="G153" s="5" t="s">
        <v>379</v>
      </c>
      <c r="H153" s="5" t="s">
        <v>1318</v>
      </c>
      <c r="I153" s="5" t="s">
        <v>51</v>
      </c>
      <c r="J153" s="5" t="s">
        <v>408</v>
      </c>
      <c r="K153" s="5" t="s">
        <v>1329</v>
      </c>
      <c r="L153" s="5" t="s">
        <v>1500</v>
      </c>
      <c r="M153" s="5" t="s">
        <v>58</v>
      </c>
      <c r="N153" s="5" t="s">
        <v>51</v>
      </c>
    </row>
    <row r="154" customFormat="false" ht="22.35" hidden="false" customHeight="false" outlineLevel="0" collapsed="false">
      <c r="A154" s="5" t="s">
        <v>1505</v>
      </c>
      <c r="B154" s="5" t="s">
        <v>1479</v>
      </c>
      <c r="C154" s="5" t="s">
        <v>1506</v>
      </c>
      <c r="D154" s="5" t="s">
        <v>1507</v>
      </c>
      <c r="E154" s="5" t="n">
        <v>5</v>
      </c>
      <c r="F154" s="5" t="s">
        <v>164</v>
      </c>
      <c r="G154" s="5" t="s">
        <v>950</v>
      </c>
      <c r="H154" s="5" t="s">
        <v>1510</v>
      </c>
      <c r="I154" s="5" t="s">
        <v>51</v>
      </c>
      <c r="J154" s="5" t="s">
        <v>408</v>
      </c>
      <c r="K154" s="5" t="s">
        <v>1329</v>
      </c>
      <c r="L154" s="5" t="s">
        <v>1487</v>
      </c>
      <c r="M154" s="5" t="s">
        <v>58</v>
      </c>
      <c r="N154" s="5" t="s">
        <v>51</v>
      </c>
    </row>
    <row r="155" customFormat="false" ht="22.35" hidden="false" customHeight="false" outlineLevel="0" collapsed="false">
      <c r="A155" s="5" t="s">
        <v>1514</v>
      </c>
      <c r="B155" s="5" t="s">
        <v>1479</v>
      </c>
      <c r="C155" s="5" t="s">
        <v>1515</v>
      </c>
      <c r="D155" s="5" t="s">
        <v>1516</v>
      </c>
      <c r="E155" s="5" t="n">
        <v>2</v>
      </c>
      <c r="F155" s="5" t="s">
        <v>53</v>
      </c>
      <c r="G155" s="5" t="s">
        <v>238</v>
      </c>
      <c r="H155" s="5" t="s">
        <v>1519</v>
      </c>
      <c r="I155" s="5" t="s">
        <v>51</v>
      </c>
      <c r="J155" s="5" t="s">
        <v>408</v>
      </c>
      <c r="K155" s="5" t="s">
        <v>1329</v>
      </c>
      <c r="L155" s="5" t="s">
        <v>1487</v>
      </c>
      <c r="M155" s="5" t="s">
        <v>58</v>
      </c>
      <c r="N155" s="5" t="s">
        <v>51</v>
      </c>
    </row>
    <row r="156" customFormat="false" ht="22.35" hidden="false" customHeight="false" outlineLevel="0" collapsed="false">
      <c r="A156" s="5" t="s">
        <v>1523</v>
      </c>
      <c r="B156" s="5" t="s">
        <v>1479</v>
      </c>
      <c r="C156" s="5" t="s">
        <v>1524</v>
      </c>
      <c r="D156" s="5" t="s">
        <v>1525</v>
      </c>
      <c r="E156" s="5" t="n">
        <v>1</v>
      </c>
      <c r="F156" s="5" t="s">
        <v>53</v>
      </c>
      <c r="G156" s="5" t="s">
        <v>176</v>
      </c>
      <c r="H156" s="5" t="s">
        <v>1529</v>
      </c>
      <c r="I156" s="5" t="s">
        <v>51</v>
      </c>
      <c r="J156" s="5" t="s">
        <v>52</v>
      </c>
      <c r="K156" s="5" t="s">
        <v>1329</v>
      </c>
      <c r="L156" s="5" t="s">
        <v>3252</v>
      </c>
      <c r="M156" s="5" t="s">
        <v>58</v>
      </c>
      <c r="N156" s="5" t="s">
        <v>84</v>
      </c>
    </row>
    <row r="157" customFormat="false" ht="22.35" hidden="false" customHeight="false" outlineLevel="0" collapsed="false">
      <c r="A157" s="5" t="s">
        <v>1291</v>
      </c>
      <c r="B157" s="5" t="s">
        <v>1534</v>
      </c>
      <c r="C157" s="5" t="s">
        <v>1535</v>
      </c>
      <c r="D157" s="5" t="s">
        <v>1536</v>
      </c>
      <c r="E157" s="5" t="n">
        <v>2</v>
      </c>
      <c r="F157" s="5" t="s">
        <v>164</v>
      </c>
      <c r="G157" s="5" t="s">
        <v>361</v>
      </c>
      <c r="H157" s="5" t="s">
        <v>1539</v>
      </c>
      <c r="I157" s="5" t="s">
        <v>51</v>
      </c>
      <c r="J157" s="5" t="s">
        <v>408</v>
      </c>
      <c r="K157" s="5" t="s">
        <v>1329</v>
      </c>
      <c r="L157" s="5" t="s">
        <v>263</v>
      </c>
      <c r="M157" s="5" t="s">
        <v>58</v>
      </c>
      <c r="N157" s="5" t="s">
        <v>51</v>
      </c>
    </row>
    <row r="158" customFormat="false" ht="22.35" hidden="false" customHeight="false" outlineLevel="0" collapsed="false">
      <c r="A158" s="5" t="s">
        <v>1543</v>
      </c>
      <c r="B158" s="5" t="s">
        <v>1534</v>
      </c>
      <c r="C158" s="5" t="s">
        <v>1544</v>
      </c>
      <c r="D158" s="5" t="s">
        <v>1545</v>
      </c>
      <c r="E158" s="5" t="n">
        <v>5</v>
      </c>
      <c r="F158" s="5" t="s">
        <v>164</v>
      </c>
      <c r="G158" s="5" t="s">
        <v>1548</v>
      </c>
      <c r="H158" s="5" t="s">
        <v>1217</v>
      </c>
      <c r="I158" s="5" t="s">
        <v>51</v>
      </c>
      <c r="J158" s="5" t="s">
        <v>408</v>
      </c>
      <c r="K158" s="5" t="s">
        <v>1329</v>
      </c>
      <c r="L158" s="5" t="s">
        <v>1291</v>
      </c>
      <c r="M158" s="5" t="s">
        <v>58</v>
      </c>
      <c r="N158" s="5" t="s">
        <v>51</v>
      </c>
    </row>
    <row r="159" customFormat="false" ht="22.35" hidden="false" customHeight="false" outlineLevel="0" collapsed="false">
      <c r="A159" s="5" t="s">
        <v>1552</v>
      </c>
      <c r="B159" s="5" t="s">
        <v>1534</v>
      </c>
      <c r="C159" s="5" t="s">
        <v>1553</v>
      </c>
      <c r="D159" s="5" t="s">
        <v>1554</v>
      </c>
      <c r="E159" s="5" t="n">
        <v>1</v>
      </c>
      <c r="F159" s="5" t="s">
        <v>53</v>
      </c>
      <c r="G159" s="5" t="s">
        <v>67</v>
      </c>
      <c r="H159" s="5" t="s">
        <v>1558</v>
      </c>
      <c r="I159" s="5" t="s">
        <v>51</v>
      </c>
      <c r="J159" s="5" t="s">
        <v>79</v>
      </c>
      <c r="K159" s="5" t="s">
        <v>1329</v>
      </c>
      <c r="L159" s="5" t="s">
        <v>1556</v>
      </c>
      <c r="M159" s="5" t="s">
        <v>58</v>
      </c>
      <c r="N159" s="5" t="s">
        <v>84</v>
      </c>
    </row>
    <row r="160" customFormat="false" ht="22.35" hidden="false" customHeight="false" outlineLevel="0" collapsed="false">
      <c r="A160" s="5" t="s">
        <v>1556</v>
      </c>
      <c r="B160" s="5" t="s">
        <v>1563</v>
      </c>
      <c r="C160" s="5" t="s">
        <v>1564</v>
      </c>
      <c r="D160" s="5" t="s">
        <v>1565</v>
      </c>
      <c r="E160" s="5" t="n">
        <v>1</v>
      </c>
      <c r="F160" s="5" t="s">
        <v>53</v>
      </c>
      <c r="G160" s="5" t="s">
        <v>67</v>
      </c>
      <c r="H160" s="5" t="s">
        <v>1568</v>
      </c>
      <c r="I160" s="5" t="s">
        <v>84</v>
      </c>
      <c r="J160" s="5" t="s">
        <v>79</v>
      </c>
      <c r="K160" s="5" t="s">
        <v>196</v>
      </c>
      <c r="L160" s="5" t="s">
        <v>281</v>
      </c>
      <c r="M160" s="5" t="s">
        <v>58</v>
      </c>
      <c r="N160" s="5" t="s">
        <v>51</v>
      </c>
    </row>
    <row r="161" customFormat="false" ht="22.35" hidden="false" customHeight="false" outlineLevel="0" collapsed="false">
      <c r="A161" s="5" t="s">
        <v>1572</v>
      </c>
      <c r="B161" s="5" t="s">
        <v>1563</v>
      </c>
      <c r="C161" s="5" t="s">
        <v>1573</v>
      </c>
      <c r="D161" s="5" t="s">
        <v>1574</v>
      </c>
      <c r="E161" s="5" t="n">
        <v>1</v>
      </c>
      <c r="F161" s="5" t="s">
        <v>53</v>
      </c>
      <c r="G161" s="5" t="s">
        <v>67</v>
      </c>
      <c r="H161" s="5" t="s">
        <v>579</v>
      </c>
      <c r="I161" s="5" t="s">
        <v>51</v>
      </c>
      <c r="J161" s="5" t="s">
        <v>408</v>
      </c>
      <c r="K161" s="5" t="s">
        <v>1115</v>
      </c>
      <c r="L161" s="5" t="s">
        <v>1556</v>
      </c>
      <c r="M161" s="5" t="s">
        <v>58</v>
      </c>
      <c r="N161" s="5" t="s">
        <v>51</v>
      </c>
    </row>
    <row r="162" customFormat="false" ht="22.35" hidden="false" customHeight="false" outlineLevel="0" collapsed="false">
      <c r="A162" s="5" t="s">
        <v>1580</v>
      </c>
      <c r="B162" s="5" t="s">
        <v>1563</v>
      </c>
      <c r="C162" s="5" t="s">
        <v>1581</v>
      </c>
      <c r="D162" s="5" t="s">
        <v>1582</v>
      </c>
      <c r="E162" s="5" t="n">
        <v>1</v>
      </c>
      <c r="F162" s="5" t="s">
        <v>53</v>
      </c>
      <c r="G162" s="5" t="s">
        <v>1586</v>
      </c>
      <c r="H162" s="5" t="s">
        <v>1585</v>
      </c>
      <c r="I162" s="5" t="s">
        <v>51</v>
      </c>
      <c r="J162" s="5" t="s">
        <v>408</v>
      </c>
      <c r="K162" s="5" t="s">
        <v>1115</v>
      </c>
      <c r="L162" s="5" t="s">
        <v>1556</v>
      </c>
      <c r="M162" s="5" t="s">
        <v>532</v>
      </c>
      <c r="N162" s="5" t="s">
        <v>51</v>
      </c>
    </row>
    <row r="163" customFormat="false" ht="22.35" hidden="false" customHeight="false" outlineLevel="0" collapsed="false">
      <c r="A163" s="5" t="s">
        <v>1590</v>
      </c>
      <c r="B163" s="5" t="s">
        <v>1563</v>
      </c>
      <c r="C163" s="5" t="s">
        <v>1591</v>
      </c>
      <c r="D163" s="5" t="s">
        <v>1592</v>
      </c>
      <c r="E163" s="5" t="n">
        <v>1</v>
      </c>
      <c r="F163" s="5" t="s">
        <v>53</v>
      </c>
      <c r="G163" s="5" t="s">
        <v>176</v>
      </c>
      <c r="H163" s="5" t="s">
        <v>1126</v>
      </c>
      <c r="I163" s="5" t="s">
        <v>51</v>
      </c>
      <c r="J163" s="5" t="s">
        <v>66</v>
      </c>
      <c r="K163" s="5" t="s">
        <v>1115</v>
      </c>
      <c r="L163" s="5" t="s">
        <v>1556</v>
      </c>
      <c r="M163" s="5" t="s">
        <v>58</v>
      </c>
      <c r="N163" s="5" t="s">
        <v>51</v>
      </c>
    </row>
    <row r="164" customFormat="false" ht="22.35" hidden="false" customHeight="false" outlineLevel="0" collapsed="false">
      <c r="A164" s="5" t="s">
        <v>1598</v>
      </c>
      <c r="B164" s="5" t="s">
        <v>1563</v>
      </c>
      <c r="C164" s="5" t="s">
        <v>1599</v>
      </c>
      <c r="D164" s="5" t="s">
        <v>1600</v>
      </c>
      <c r="E164" s="5" t="n">
        <v>5</v>
      </c>
      <c r="F164" s="5" t="s">
        <v>164</v>
      </c>
      <c r="G164" s="5" t="s">
        <v>950</v>
      </c>
      <c r="H164" s="5" t="s">
        <v>1585</v>
      </c>
      <c r="I164" s="5" t="s">
        <v>51</v>
      </c>
      <c r="J164" s="5" t="s">
        <v>408</v>
      </c>
      <c r="K164" s="5" t="s">
        <v>1329</v>
      </c>
      <c r="L164" s="5" t="s">
        <v>1602</v>
      </c>
      <c r="M164" s="5" t="s">
        <v>774</v>
      </c>
      <c r="N164" s="5" t="s">
        <v>84</v>
      </c>
    </row>
    <row r="165" customFormat="false" ht="22.35" hidden="false" customHeight="false" outlineLevel="0" collapsed="false">
      <c r="A165" s="5" t="s">
        <v>1606</v>
      </c>
      <c r="B165" s="5" t="s">
        <v>1563</v>
      </c>
      <c r="C165" s="5" t="s">
        <v>1607</v>
      </c>
      <c r="D165" s="5" t="s">
        <v>1608</v>
      </c>
      <c r="E165" s="5" t="n">
        <v>2</v>
      </c>
      <c r="F165" s="5" t="s">
        <v>164</v>
      </c>
      <c r="G165" s="5" t="s">
        <v>361</v>
      </c>
      <c r="H165" s="5" t="s">
        <v>1318</v>
      </c>
      <c r="I165" s="5" t="s">
        <v>51</v>
      </c>
      <c r="J165" s="5" t="s">
        <v>52</v>
      </c>
      <c r="K165" s="5" t="s">
        <v>1329</v>
      </c>
      <c r="L165" s="5" t="s">
        <v>3253</v>
      </c>
      <c r="M165" s="5" t="s">
        <v>58</v>
      </c>
      <c r="N165" s="5" t="s">
        <v>51</v>
      </c>
    </row>
    <row r="166" customFormat="false" ht="22.35" hidden="false" customHeight="false" outlineLevel="0" collapsed="false">
      <c r="A166" s="5" t="s">
        <v>1233</v>
      </c>
      <c r="B166" s="5" t="s">
        <v>1616</v>
      </c>
      <c r="C166" s="5" t="s">
        <v>1617</v>
      </c>
      <c r="D166" s="5" t="s">
        <v>1618</v>
      </c>
      <c r="E166" s="5" t="n">
        <v>1</v>
      </c>
      <c r="F166" s="5" t="s">
        <v>53</v>
      </c>
      <c r="G166" s="5" t="s">
        <v>67</v>
      </c>
      <c r="H166" s="5" t="s">
        <v>685</v>
      </c>
      <c r="I166" s="5" t="s">
        <v>84</v>
      </c>
      <c r="J166" s="5" t="s">
        <v>79</v>
      </c>
      <c r="K166" s="5" t="s">
        <v>196</v>
      </c>
      <c r="L166" s="5" t="s">
        <v>263</v>
      </c>
      <c r="M166" s="5" t="s">
        <v>58</v>
      </c>
      <c r="N166" s="5" t="s">
        <v>51</v>
      </c>
    </row>
    <row r="167" customFormat="false" ht="22.35" hidden="false" customHeight="false" outlineLevel="0" collapsed="false">
      <c r="A167" s="5" t="s">
        <v>1624</v>
      </c>
      <c r="B167" s="5" t="s">
        <v>1616</v>
      </c>
      <c r="C167" s="5" t="s">
        <v>1625</v>
      </c>
      <c r="D167" s="5" t="s">
        <v>1626</v>
      </c>
      <c r="E167" s="5" t="n">
        <v>2</v>
      </c>
      <c r="F167" s="5" t="s">
        <v>164</v>
      </c>
      <c r="G167" s="5" t="s">
        <v>361</v>
      </c>
      <c r="H167" s="5" t="s">
        <v>1630</v>
      </c>
      <c r="I167" s="5" t="s">
        <v>51</v>
      </c>
      <c r="J167" s="5" t="s">
        <v>79</v>
      </c>
      <c r="K167" s="5" t="s">
        <v>1329</v>
      </c>
      <c r="L167" s="5" t="s">
        <v>1628</v>
      </c>
      <c r="M167" s="5" t="s">
        <v>58</v>
      </c>
      <c r="N167" s="5" t="s">
        <v>84</v>
      </c>
    </row>
    <row r="168" customFormat="false" ht="22.35" hidden="false" customHeight="false" outlineLevel="0" collapsed="false">
      <c r="A168" s="5" t="s">
        <v>1633</v>
      </c>
      <c r="B168" s="5" t="s">
        <v>1616</v>
      </c>
      <c r="C168" s="5" t="s">
        <v>1634</v>
      </c>
      <c r="D168" s="5" t="s">
        <v>1635</v>
      </c>
      <c r="E168" s="5" t="n">
        <v>1</v>
      </c>
      <c r="F168" s="5" t="s">
        <v>53</v>
      </c>
      <c r="G168" s="5" t="s">
        <v>67</v>
      </c>
      <c r="H168" s="5" t="s">
        <v>1388</v>
      </c>
      <c r="I168" s="5" t="s">
        <v>51</v>
      </c>
      <c r="J168" s="5" t="s">
        <v>79</v>
      </c>
      <c r="K168" s="5" t="s">
        <v>1329</v>
      </c>
      <c r="L168" s="5" t="s">
        <v>1624</v>
      </c>
      <c r="M168" s="5" t="s">
        <v>58</v>
      </c>
      <c r="N168" s="5" t="s">
        <v>84</v>
      </c>
    </row>
    <row r="169" customFormat="false" ht="22.35" hidden="false" customHeight="false" outlineLevel="0" collapsed="false">
      <c r="A169" s="5" t="s">
        <v>1640</v>
      </c>
      <c r="B169" s="5" t="s">
        <v>1616</v>
      </c>
      <c r="C169" s="5" t="s">
        <v>1641</v>
      </c>
      <c r="D169" s="5" t="s">
        <v>1642</v>
      </c>
      <c r="E169" s="5" t="n">
        <v>1</v>
      </c>
      <c r="F169" s="5" t="s">
        <v>53</v>
      </c>
      <c r="G169" s="5" t="s">
        <v>389</v>
      </c>
      <c r="H169" s="5" t="s">
        <v>1647</v>
      </c>
      <c r="I169" s="5" t="s">
        <v>84</v>
      </c>
      <c r="J169" s="5" t="s">
        <v>79</v>
      </c>
      <c r="K169" s="5" t="s">
        <v>1645</v>
      </c>
      <c r="L169" s="5" t="s">
        <v>1644</v>
      </c>
      <c r="M169" s="5" t="s">
        <v>58</v>
      </c>
      <c r="N169" s="5" t="s">
        <v>51</v>
      </c>
    </row>
    <row r="170" customFormat="false" ht="22.35" hidden="false" customHeight="false" outlineLevel="0" collapsed="false">
      <c r="A170" s="5" t="s">
        <v>1650</v>
      </c>
      <c r="B170" s="5" t="s">
        <v>1616</v>
      </c>
      <c r="C170" s="5" t="s">
        <v>1651</v>
      </c>
      <c r="D170" s="5" t="s">
        <v>1652</v>
      </c>
      <c r="E170" s="5" t="n">
        <v>1</v>
      </c>
      <c r="F170" s="5" t="s">
        <v>53</v>
      </c>
      <c r="G170" s="5" t="s">
        <v>67</v>
      </c>
      <c r="H170" s="5" t="s">
        <v>1656</v>
      </c>
      <c r="I170" s="5" t="s">
        <v>51</v>
      </c>
      <c r="J170" s="5" t="s">
        <v>52</v>
      </c>
      <c r="K170" s="5" t="s">
        <v>1115</v>
      </c>
      <c r="L170" s="5" t="s">
        <v>1654</v>
      </c>
      <c r="M170" s="5" t="s">
        <v>58</v>
      </c>
      <c r="N170" s="5" t="s">
        <v>51</v>
      </c>
    </row>
    <row r="171" customFormat="false" ht="22.35" hidden="false" customHeight="false" outlineLevel="0" collapsed="false">
      <c r="A171" s="5" t="s">
        <v>1660</v>
      </c>
      <c r="B171" s="5" t="s">
        <v>1616</v>
      </c>
      <c r="C171" s="5" t="s">
        <v>1661</v>
      </c>
      <c r="D171" s="5" t="s">
        <v>1662</v>
      </c>
      <c r="E171" s="5" t="n">
        <v>1</v>
      </c>
      <c r="F171" s="5" t="s">
        <v>53</v>
      </c>
      <c r="G171" s="5" t="s">
        <v>67</v>
      </c>
      <c r="H171" s="5" t="s">
        <v>1666</v>
      </c>
      <c r="I171" s="5" t="s">
        <v>51</v>
      </c>
      <c r="J171" s="5" t="s">
        <v>79</v>
      </c>
      <c r="K171" s="5" t="s">
        <v>1664</v>
      </c>
      <c r="L171" s="5" t="s">
        <v>3254</v>
      </c>
      <c r="M171" s="5" t="s">
        <v>58</v>
      </c>
      <c r="N171" s="5" t="s">
        <v>84</v>
      </c>
    </row>
    <row r="172" customFormat="false" ht="22.35" hidden="false" customHeight="false" outlineLevel="0" collapsed="false">
      <c r="A172" s="5" t="s">
        <v>1669</v>
      </c>
      <c r="B172" s="5" t="s">
        <v>1671</v>
      </c>
      <c r="C172" s="5" t="s">
        <v>1672</v>
      </c>
      <c r="D172" s="5" t="s">
        <v>1673</v>
      </c>
      <c r="E172" s="5" t="n">
        <v>1</v>
      </c>
      <c r="F172" s="5" t="s">
        <v>53</v>
      </c>
      <c r="G172" s="5" t="s">
        <v>67</v>
      </c>
      <c r="H172" s="5" t="s">
        <v>1558</v>
      </c>
      <c r="I172" s="5" t="s">
        <v>51</v>
      </c>
      <c r="J172" s="5" t="s">
        <v>408</v>
      </c>
      <c r="K172" s="5" t="s">
        <v>1471</v>
      </c>
      <c r="L172" s="5" t="s">
        <v>1556</v>
      </c>
      <c r="M172" s="5" t="s">
        <v>58</v>
      </c>
      <c r="N172" s="5" t="s">
        <v>84</v>
      </c>
    </row>
    <row r="173" customFormat="false" ht="22.35" hidden="false" customHeight="false" outlineLevel="0" collapsed="false">
      <c r="A173" s="5" t="s">
        <v>1679</v>
      </c>
      <c r="B173" s="5" t="s">
        <v>1671</v>
      </c>
      <c r="C173" s="5" t="s">
        <v>1680</v>
      </c>
      <c r="D173" s="5" t="s">
        <v>1681</v>
      </c>
      <c r="E173" s="5" t="n">
        <v>1</v>
      </c>
      <c r="F173" s="5" t="s">
        <v>53</v>
      </c>
      <c r="G173" s="5" t="s">
        <v>67</v>
      </c>
      <c r="H173" s="5" t="s">
        <v>1685</v>
      </c>
      <c r="I173" s="5" t="s">
        <v>51</v>
      </c>
      <c r="J173" s="5" t="s">
        <v>79</v>
      </c>
      <c r="K173" s="5" t="s">
        <v>578</v>
      </c>
      <c r="L173" s="5" t="s">
        <v>1683</v>
      </c>
      <c r="M173" s="5" t="s">
        <v>58</v>
      </c>
      <c r="N173" s="5" t="s">
        <v>84</v>
      </c>
    </row>
    <row r="174" customFormat="false" ht="22.35" hidden="false" customHeight="false" outlineLevel="0" collapsed="false">
      <c r="A174" s="5" t="s">
        <v>1689</v>
      </c>
      <c r="B174" s="5" t="s">
        <v>1671</v>
      </c>
      <c r="C174" s="5" t="s">
        <v>1690</v>
      </c>
      <c r="D174" s="5" t="s">
        <v>1691</v>
      </c>
      <c r="E174" s="5" t="n">
        <v>2</v>
      </c>
      <c r="F174" s="5" t="s">
        <v>53</v>
      </c>
      <c r="G174" s="5" t="s">
        <v>238</v>
      </c>
      <c r="H174" s="5" t="s">
        <v>1694</v>
      </c>
      <c r="I174" s="5" t="s">
        <v>663</v>
      </c>
      <c r="J174" s="5" t="s">
        <v>408</v>
      </c>
      <c r="K174" s="5" t="s">
        <v>568</v>
      </c>
      <c r="L174" s="5" t="s">
        <v>1669</v>
      </c>
      <c r="M174" s="5" t="s">
        <v>58</v>
      </c>
      <c r="N174" s="5" t="s">
        <v>51</v>
      </c>
    </row>
    <row r="175" customFormat="false" ht="22.35" hidden="false" customHeight="false" outlineLevel="0" collapsed="false">
      <c r="A175" s="5" t="s">
        <v>1698</v>
      </c>
      <c r="B175" s="5" t="s">
        <v>1671</v>
      </c>
      <c r="C175" s="5" t="s">
        <v>1699</v>
      </c>
      <c r="D175" s="5" t="s">
        <v>1700</v>
      </c>
      <c r="E175" s="5" t="n">
        <v>1</v>
      </c>
      <c r="F175" s="5" t="s">
        <v>53</v>
      </c>
      <c r="G175" s="5" t="s">
        <v>389</v>
      </c>
      <c r="H175" s="5" t="s">
        <v>1703</v>
      </c>
      <c r="I175" s="5" t="s">
        <v>51</v>
      </c>
      <c r="J175" s="5" t="s">
        <v>79</v>
      </c>
      <c r="K175" s="5" t="s">
        <v>1664</v>
      </c>
      <c r="L175" s="5" t="s">
        <v>1679</v>
      </c>
      <c r="M175" s="5" t="s">
        <v>58</v>
      </c>
      <c r="N175" s="5" t="s">
        <v>84</v>
      </c>
    </row>
    <row r="176" customFormat="false" ht="22.35" hidden="false" customHeight="false" outlineLevel="0" collapsed="false">
      <c r="A176" s="5" t="s">
        <v>1706</v>
      </c>
      <c r="B176" s="5" t="s">
        <v>1671</v>
      </c>
      <c r="C176" s="5" t="s">
        <v>1707</v>
      </c>
      <c r="D176" s="5" t="s">
        <v>1708</v>
      </c>
      <c r="E176" s="5" t="n">
        <v>3</v>
      </c>
      <c r="F176" s="5" t="s">
        <v>164</v>
      </c>
      <c r="G176" s="5" t="s">
        <v>831</v>
      </c>
      <c r="H176" s="5" t="s">
        <v>1712</v>
      </c>
      <c r="I176" s="5" t="s">
        <v>84</v>
      </c>
      <c r="J176" s="5" t="s">
        <v>408</v>
      </c>
      <c r="K176" s="5" t="s">
        <v>578</v>
      </c>
      <c r="L176" s="5" t="s">
        <v>1710</v>
      </c>
      <c r="M176" s="5" t="s">
        <v>774</v>
      </c>
      <c r="N176" s="5" t="s">
        <v>84</v>
      </c>
    </row>
    <row r="177" customFormat="false" ht="22.35" hidden="false" customHeight="false" outlineLevel="0" collapsed="false">
      <c r="A177" s="5" t="s">
        <v>1715</v>
      </c>
      <c r="B177" s="5" t="s">
        <v>1717</v>
      </c>
      <c r="C177" s="5" t="s">
        <v>1718</v>
      </c>
      <c r="D177" s="5" t="s">
        <v>1719</v>
      </c>
      <c r="E177" s="5" t="n">
        <v>1</v>
      </c>
      <c r="F177" s="5" t="s">
        <v>53</v>
      </c>
      <c r="G177" s="5" t="s">
        <v>67</v>
      </c>
      <c r="H177" s="5" t="s">
        <v>1484</v>
      </c>
      <c r="I177" s="5" t="s">
        <v>84</v>
      </c>
      <c r="J177" s="5" t="s">
        <v>408</v>
      </c>
      <c r="K177" s="5" t="s">
        <v>568</v>
      </c>
      <c r="L177" s="5" t="s">
        <v>698</v>
      </c>
      <c r="M177" s="5" t="s">
        <v>58</v>
      </c>
      <c r="N177" s="5" t="s">
        <v>51</v>
      </c>
    </row>
    <row r="178" customFormat="false" ht="22.35" hidden="false" customHeight="false" outlineLevel="0" collapsed="false">
      <c r="A178" s="5" t="s">
        <v>1724</v>
      </c>
      <c r="B178" s="5" t="s">
        <v>1717</v>
      </c>
      <c r="C178" s="5" t="s">
        <v>1725</v>
      </c>
      <c r="D178" s="5" t="s">
        <v>1726</v>
      </c>
      <c r="E178" s="5" t="n">
        <v>4</v>
      </c>
      <c r="F178" s="5" t="s">
        <v>164</v>
      </c>
      <c r="G178" s="5" t="s">
        <v>1397</v>
      </c>
      <c r="H178" s="5" t="s">
        <v>1728</v>
      </c>
      <c r="I178" s="5" t="s">
        <v>51</v>
      </c>
      <c r="J178" s="5" t="s">
        <v>408</v>
      </c>
      <c r="K178" s="5" t="s">
        <v>1329</v>
      </c>
      <c r="L178" s="5" t="s">
        <v>1715</v>
      </c>
      <c r="M178" s="5" t="s">
        <v>58</v>
      </c>
      <c r="N178" s="5" t="s">
        <v>51</v>
      </c>
    </row>
    <row r="179" customFormat="false" ht="22.35" hidden="false" customHeight="false" outlineLevel="0" collapsed="false">
      <c r="A179" s="5" t="s">
        <v>1732</v>
      </c>
      <c r="B179" s="5" t="s">
        <v>1717</v>
      </c>
      <c r="C179" s="5" t="s">
        <v>1733</v>
      </c>
      <c r="D179" s="5" t="s">
        <v>1734</v>
      </c>
      <c r="E179" s="5" t="n">
        <v>1</v>
      </c>
      <c r="F179" s="5" t="s">
        <v>53</v>
      </c>
      <c r="G179" s="5" t="s">
        <v>67</v>
      </c>
      <c r="H179" s="5" t="s">
        <v>1647</v>
      </c>
      <c r="I179" s="5" t="s">
        <v>51</v>
      </c>
      <c r="J179" s="5" t="s">
        <v>408</v>
      </c>
      <c r="K179" s="5" t="s">
        <v>1329</v>
      </c>
      <c r="L179" s="5" t="s">
        <v>1715</v>
      </c>
      <c r="M179" s="5" t="s">
        <v>58</v>
      </c>
      <c r="N179" s="5" t="s">
        <v>84</v>
      </c>
    </row>
    <row r="180" customFormat="false" ht="22.35" hidden="false" customHeight="false" outlineLevel="0" collapsed="false">
      <c r="A180" s="5" t="s">
        <v>1740</v>
      </c>
      <c r="B180" s="5" t="s">
        <v>1717</v>
      </c>
      <c r="C180" s="5" t="s">
        <v>1741</v>
      </c>
      <c r="D180" s="5" t="s">
        <v>1742</v>
      </c>
      <c r="E180" s="5" t="n">
        <v>3</v>
      </c>
      <c r="F180" s="5" t="s">
        <v>164</v>
      </c>
      <c r="G180" s="5" t="s">
        <v>1747</v>
      </c>
      <c r="H180" s="5" t="s">
        <v>1746</v>
      </c>
      <c r="I180" s="5" t="s">
        <v>51</v>
      </c>
      <c r="J180" s="5" t="s">
        <v>408</v>
      </c>
      <c r="K180" s="5" t="s">
        <v>693</v>
      </c>
      <c r="L180" s="5" t="s">
        <v>1744</v>
      </c>
      <c r="M180" s="5" t="s">
        <v>532</v>
      </c>
      <c r="N180" s="5" t="s">
        <v>51</v>
      </c>
    </row>
    <row r="181" customFormat="false" ht="22.35" hidden="false" customHeight="false" outlineLevel="0" collapsed="false">
      <c r="A181" s="5" t="s">
        <v>1750</v>
      </c>
      <c r="B181" s="5" t="s">
        <v>1717</v>
      </c>
      <c r="C181" s="5" t="s">
        <v>1751</v>
      </c>
      <c r="D181" s="5" t="s">
        <v>1752</v>
      </c>
      <c r="E181" s="5" t="n">
        <v>1</v>
      </c>
      <c r="F181" s="5" t="s">
        <v>53</v>
      </c>
      <c r="G181" s="5" t="s">
        <v>67</v>
      </c>
      <c r="H181" s="5" t="s">
        <v>1755</v>
      </c>
      <c r="I181" s="5" t="s">
        <v>51</v>
      </c>
      <c r="J181" s="5" t="s">
        <v>408</v>
      </c>
      <c r="K181" s="5" t="s">
        <v>1329</v>
      </c>
      <c r="L181" s="5" t="s">
        <v>1715</v>
      </c>
      <c r="M181" s="5" t="s">
        <v>58</v>
      </c>
      <c r="N181" s="5" t="s">
        <v>84</v>
      </c>
    </row>
    <row r="182" customFormat="false" ht="22.35" hidden="false" customHeight="false" outlineLevel="0" collapsed="false">
      <c r="A182" s="5" t="s">
        <v>1759</v>
      </c>
      <c r="B182" s="5" t="s">
        <v>1761</v>
      </c>
      <c r="C182" s="5" t="s">
        <v>1762</v>
      </c>
      <c r="D182" s="5" t="s">
        <v>1763</v>
      </c>
      <c r="E182" s="5" t="n">
        <v>1</v>
      </c>
      <c r="F182" s="5" t="s">
        <v>53</v>
      </c>
      <c r="G182" s="5" t="s">
        <v>67</v>
      </c>
      <c r="H182" s="5" t="s">
        <v>685</v>
      </c>
      <c r="I182" s="5" t="s">
        <v>84</v>
      </c>
      <c r="J182" s="5" t="s">
        <v>408</v>
      </c>
      <c r="K182" s="5" t="s">
        <v>196</v>
      </c>
      <c r="L182" s="5" t="s">
        <v>263</v>
      </c>
      <c r="M182" s="5" t="s">
        <v>774</v>
      </c>
      <c r="N182" s="5" t="s">
        <v>51</v>
      </c>
    </row>
    <row r="183" customFormat="false" ht="22.35" hidden="false" customHeight="false" outlineLevel="0" collapsed="false">
      <c r="A183" s="5" t="s">
        <v>1767</v>
      </c>
      <c r="B183" s="5" t="s">
        <v>1761</v>
      </c>
      <c r="C183" s="5" t="s">
        <v>1768</v>
      </c>
      <c r="D183" s="5" t="s">
        <v>1769</v>
      </c>
      <c r="E183" s="5" t="n">
        <v>18</v>
      </c>
      <c r="F183" s="5" t="s">
        <v>781</v>
      </c>
      <c r="G183" s="5" t="s">
        <v>1774</v>
      </c>
      <c r="H183" s="5" t="s">
        <v>1773</v>
      </c>
      <c r="I183" s="5" t="s">
        <v>51</v>
      </c>
      <c r="J183" s="5" t="s">
        <v>408</v>
      </c>
      <c r="K183" s="5" t="s">
        <v>568</v>
      </c>
      <c r="L183" s="5" t="s">
        <v>1771</v>
      </c>
      <c r="M183" s="5" t="s">
        <v>774</v>
      </c>
      <c r="N183" s="5" t="s">
        <v>51</v>
      </c>
    </row>
    <row r="184" customFormat="false" ht="22.35" hidden="false" customHeight="false" outlineLevel="0" collapsed="false">
      <c r="A184" s="5" t="s">
        <v>1777</v>
      </c>
      <c r="B184" s="5" t="s">
        <v>1761</v>
      </c>
      <c r="C184" s="5" t="s">
        <v>1778</v>
      </c>
      <c r="D184" s="5" t="s">
        <v>1779</v>
      </c>
      <c r="E184" s="5" t="n">
        <v>4</v>
      </c>
      <c r="F184" s="5" t="s">
        <v>164</v>
      </c>
      <c r="G184" s="5" t="s">
        <v>379</v>
      </c>
      <c r="H184" s="5" t="s">
        <v>1781</v>
      </c>
      <c r="I184" s="5" t="s">
        <v>51</v>
      </c>
      <c r="J184" s="5" t="s">
        <v>66</v>
      </c>
      <c r="K184" s="5" t="s">
        <v>1329</v>
      </c>
      <c r="L184" s="5" t="s">
        <v>1767</v>
      </c>
      <c r="M184" s="5" t="s">
        <v>774</v>
      </c>
      <c r="N184" s="5" t="s">
        <v>51</v>
      </c>
    </row>
    <row r="185" customFormat="false" ht="22.35" hidden="false" customHeight="false" outlineLevel="0" collapsed="false">
      <c r="A185" s="5" t="s">
        <v>1785</v>
      </c>
      <c r="B185" s="5" t="s">
        <v>1761</v>
      </c>
      <c r="C185" s="5" t="s">
        <v>1786</v>
      </c>
      <c r="D185" s="5" t="s">
        <v>1787</v>
      </c>
      <c r="E185" s="5" t="n">
        <v>2</v>
      </c>
      <c r="F185" s="5" t="s">
        <v>53</v>
      </c>
      <c r="G185" s="5" t="s">
        <v>238</v>
      </c>
      <c r="H185" s="5" t="s">
        <v>1790</v>
      </c>
      <c r="I185" s="5" t="s">
        <v>51</v>
      </c>
      <c r="J185" s="5" t="s">
        <v>66</v>
      </c>
      <c r="K185" s="5" t="s">
        <v>1329</v>
      </c>
      <c r="L185" s="5" t="s">
        <v>1767</v>
      </c>
      <c r="M185" s="5" t="s">
        <v>774</v>
      </c>
      <c r="N185" s="5" t="s">
        <v>51</v>
      </c>
    </row>
    <row r="186" customFormat="false" ht="22.35" hidden="false" customHeight="false" outlineLevel="0" collapsed="false">
      <c r="A186" s="5" t="s">
        <v>1794</v>
      </c>
      <c r="B186" s="5" t="s">
        <v>1796</v>
      </c>
      <c r="C186" s="5" t="s">
        <v>1797</v>
      </c>
      <c r="D186" s="5" t="s">
        <v>1798</v>
      </c>
      <c r="E186" s="5" t="n">
        <v>2</v>
      </c>
      <c r="F186" s="5" t="s">
        <v>164</v>
      </c>
      <c r="G186" s="5" t="s">
        <v>238</v>
      </c>
      <c r="H186" s="5" t="s">
        <v>1484</v>
      </c>
      <c r="I186" s="5" t="s">
        <v>84</v>
      </c>
      <c r="J186" s="5" t="s">
        <v>408</v>
      </c>
      <c r="K186" s="5" t="s">
        <v>1800</v>
      </c>
      <c r="L186" s="5" t="s">
        <v>263</v>
      </c>
      <c r="M186" s="5" t="s">
        <v>774</v>
      </c>
      <c r="N186" s="5" t="s">
        <v>51</v>
      </c>
    </row>
    <row r="187" customFormat="false" ht="22.35" hidden="false" customHeight="false" outlineLevel="0" collapsed="false">
      <c r="A187" s="5" t="s">
        <v>1804</v>
      </c>
      <c r="B187" s="5" t="s">
        <v>1796</v>
      </c>
      <c r="C187" s="5" t="s">
        <v>1805</v>
      </c>
      <c r="D187" s="5" t="s">
        <v>1806</v>
      </c>
      <c r="E187" s="5" t="n">
        <v>5</v>
      </c>
      <c r="F187" s="5" t="s">
        <v>164</v>
      </c>
      <c r="G187" s="5" t="s">
        <v>1812</v>
      </c>
      <c r="H187" s="5" t="s">
        <v>1811</v>
      </c>
      <c r="I187" s="5" t="s">
        <v>51</v>
      </c>
      <c r="J187" s="5" t="s">
        <v>408</v>
      </c>
      <c r="K187" s="5" t="s">
        <v>1809</v>
      </c>
      <c r="L187" s="5" t="s">
        <v>1808</v>
      </c>
      <c r="M187" s="5" t="s">
        <v>774</v>
      </c>
      <c r="N187" s="5" t="s">
        <v>84</v>
      </c>
    </row>
    <row r="188" customFormat="false" ht="22.35" hidden="false" customHeight="false" outlineLevel="0" collapsed="false">
      <c r="A188" s="5" t="s">
        <v>1816</v>
      </c>
      <c r="B188" s="5" t="s">
        <v>1796</v>
      </c>
      <c r="C188" s="5" t="s">
        <v>1817</v>
      </c>
      <c r="D188" s="5" t="s">
        <v>1818</v>
      </c>
      <c r="E188" s="5" t="n">
        <v>15</v>
      </c>
      <c r="F188" s="5" t="s">
        <v>781</v>
      </c>
      <c r="G188" s="5" t="s">
        <v>1823</v>
      </c>
      <c r="H188" s="5" t="s">
        <v>1822</v>
      </c>
      <c r="I188" s="5" t="s">
        <v>51</v>
      </c>
      <c r="J188" s="5" t="s">
        <v>408</v>
      </c>
      <c r="K188" s="5" t="s">
        <v>568</v>
      </c>
      <c r="L188" s="5" t="s">
        <v>1820</v>
      </c>
      <c r="M188" s="5" t="s">
        <v>774</v>
      </c>
      <c r="N188" s="5" t="s">
        <v>51</v>
      </c>
    </row>
    <row r="189" customFormat="false" ht="22.35" hidden="false" customHeight="false" outlineLevel="0" collapsed="false">
      <c r="A189" s="5" t="s">
        <v>1827</v>
      </c>
      <c r="B189" s="5" t="s">
        <v>1796</v>
      </c>
      <c r="C189" s="5" t="s">
        <v>1828</v>
      </c>
      <c r="D189" s="5" t="s">
        <v>1829</v>
      </c>
      <c r="E189" s="5" t="n">
        <v>5</v>
      </c>
      <c r="F189" s="5" t="s">
        <v>164</v>
      </c>
      <c r="G189" s="5" t="s">
        <v>950</v>
      </c>
      <c r="H189" s="5" t="s">
        <v>1832</v>
      </c>
      <c r="I189" s="5" t="s">
        <v>84</v>
      </c>
      <c r="J189" s="5" t="s">
        <v>408</v>
      </c>
      <c r="K189" s="5" t="s">
        <v>1329</v>
      </c>
      <c r="L189" s="5" t="s">
        <v>1816</v>
      </c>
      <c r="M189" s="5" t="s">
        <v>774</v>
      </c>
      <c r="N189" s="5" t="s">
        <v>51</v>
      </c>
    </row>
    <row r="190" customFormat="false" ht="22.35" hidden="false" customHeight="false" outlineLevel="0" collapsed="false">
      <c r="A190" s="5" t="s">
        <v>1836</v>
      </c>
      <c r="B190" s="5" t="s">
        <v>1796</v>
      </c>
      <c r="C190" s="5" t="s">
        <v>1837</v>
      </c>
      <c r="D190" s="5" t="s">
        <v>1838</v>
      </c>
      <c r="E190" s="5" t="n">
        <v>3</v>
      </c>
      <c r="F190" s="5" t="s">
        <v>164</v>
      </c>
      <c r="G190" s="5" t="s">
        <v>831</v>
      </c>
      <c r="H190" s="5" t="s">
        <v>1841</v>
      </c>
      <c r="I190" s="5" t="s">
        <v>84</v>
      </c>
      <c r="J190" s="5" t="s">
        <v>408</v>
      </c>
      <c r="K190" s="5" t="s">
        <v>1329</v>
      </c>
      <c r="L190" s="5" t="s">
        <v>1804</v>
      </c>
      <c r="M190" s="5" t="s">
        <v>774</v>
      </c>
      <c r="N190" s="5" t="s">
        <v>84</v>
      </c>
    </row>
    <row r="191" customFormat="false" ht="32.8" hidden="false" customHeight="false" outlineLevel="0" collapsed="false">
      <c r="A191" s="5" t="s">
        <v>1845</v>
      </c>
      <c r="B191" s="5" t="s">
        <v>1796</v>
      </c>
      <c r="C191" s="5" t="s">
        <v>1846</v>
      </c>
      <c r="D191" s="5" t="s">
        <v>1847</v>
      </c>
      <c r="E191" s="5" t="n">
        <v>2</v>
      </c>
      <c r="F191" s="5" t="s">
        <v>53</v>
      </c>
      <c r="G191" s="5" t="s">
        <v>238</v>
      </c>
      <c r="H191" s="5" t="s">
        <v>1851</v>
      </c>
      <c r="I191" s="5" t="s">
        <v>84</v>
      </c>
      <c r="J191" s="5" t="s">
        <v>408</v>
      </c>
      <c r="K191" s="5" t="s">
        <v>1645</v>
      </c>
      <c r="L191" s="5" t="s">
        <v>1849</v>
      </c>
      <c r="M191" s="5" t="s">
        <v>58</v>
      </c>
      <c r="N191" s="5" t="s">
        <v>84</v>
      </c>
    </row>
    <row r="192" customFormat="false" ht="22.35" hidden="false" customHeight="false" outlineLevel="0" collapsed="false">
      <c r="A192" s="5" t="s">
        <v>1855</v>
      </c>
      <c r="B192" s="5" t="s">
        <v>1796</v>
      </c>
      <c r="C192" s="5" t="s">
        <v>1856</v>
      </c>
      <c r="D192" s="5" t="s">
        <v>1857</v>
      </c>
      <c r="E192" s="5" t="n">
        <v>4</v>
      </c>
      <c r="F192" s="5" t="s">
        <v>164</v>
      </c>
      <c r="G192" s="5" t="s">
        <v>379</v>
      </c>
      <c r="H192" s="5" t="s">
        <v>1860</v>
      </c>
      <c r="I192" s="5" t="s">
        <v>51</v>
      </c>
      <c r="J192" s="5" t="s">
        <v>408</v>
      </c>
      <c r="K192" s="5" t="s">
        <v>1329</v>
      </c>
      <c r="L192" s="5" t="s">
        <v>1669</v>
      </c>
      <c r="M192" s="5" t="s">
        <v>774</v>
      </c>
      <c r="N192" s="5" t="s">
        <v>84</v>
      </c>
    </row>
    <row r="193" customFormat="false" ht="22.35" hidden="false" customHeight="false" outlineLevel="0" collapsed="false">
      <c r="A193" s="5" t="s">
        <v>1864</v>
      </c>
      <c r="B193" s="5" t="s">
        <v>1866</v>
      </c>
      <c r="C193" s="5" t="s">
        <v>1867</v>
      </c>
      <c r="D193" s="5" t="s">
        <v>1868</v>
      </c>
      <c r="E193" s="5" t="n">
        <v>1</v>
      </c>
      <c r="F193" s="5" t="s">
        <v>53</v>
      </c>
      <c r="G193" s="5" t="s">
        <v>67</v>
      </c>
      <c r="H193" s="5" t="s">
        <v>1484</v>
      </c>
      <c r="I193" s="5" t="s">
        <v>84</v>
      </c>
      <c r="J193" s="5" t="s">
        <v>408</v>
      </c>
      <c r="K193" s="5" t="s">
        <v>196</v>
      </c>
      <c r="L193" s="5" t="s">
        <v>263</v>
      </c>
      <c r="M193" s="5" t="s">
        <v>774</v>
      </c>
      <c r="N193" s="5" t="s">
        <v>51</v>
      </c>
    </row>
    <row r="194" customFormat="false" ht="22.35" hidden="false" customHeight="false" outlineLevel="0" collapsed="false">
      <c r="A194" s="5" t="s">
        <v>1872</v>
      </c>
      <c r="B194" s="5" t="s">
        <v>1866</v>
      </c>
      <c r="C194" s="5" t="s">
        <v>1873</v>
      </c>
      <c r="D194" s="5" t="s">
        <v>1874</v>
      </c>
      <c r="E194" s="5" t="n">
        <v>3</v>
      </c>
      <c r="F194" s="5" t="s">
        <v>164</v>
      </c>
      <c r="G194" s="5" t="s">
        <v>831</v>
      </c>
      <c r="H194" s="5" t="s">
        <v>1877</v>
      </c>
      <c r="I194" s="5" t="s">
        <v>84</v>
      </c>
      <c r="J194" s="5" t="s">
        <v>408</v>
      </c>
      <c r="K194" s="5" t="s">
        <v>1329</v>
      </c>
      <c r="L194" s="5" t="s">
        <v>1864</v>
      </c>
      <c r="M194" s="5" t="s">
        <v>774</v>
      </c>
      <c r="N194" s="5" t="s">
        <v>84</v>
      </c>
    </row>
    <row r="195" customFormat="false" ht="22.35" hidden="false" customHeight="false" outlineLevel="0" collapsed="false">
      <c r="A195" s="5" t="s">
        <v>1881</v>
      </c>
      <c r="B195" s="5" t="s">
        <v>1866</v>
      </c>
      <c r="C195" s="5" t="s">
        <v>1882</v>
      </c>
      <c r="D195" s="5" t="s">
        <v>1883</v>
      </c>
      <c r="E195" s="5" t="n">
        <v>2</v>
      </c>
      <c r="F195" s="5" t="s">
        <v>164</v>
      </c>
      <c r="G195" s="5" t="s">
        <v>361</v>
      </c>
      <c r="H195" s="5" t="s">
        <v>1886</v>
      </c>
      <c r="I195" s="5" t="s">
        <v>51</v>
      </c>
      <c r="J195" s="5" t="s">
        <v>408</v>
      </c>
      <c r="K195" s="5" t="s">
        <v>1329</v>
      </c>
      <c r="L195" s="5" t="s">
        <v>1885</v>
      </c>
      <c r="M195" s="5" t="s">
        <v>774</v>
      </c>
      <c r="N195" s="5" t="s">
        <v>84</v>
      </c>
    </row>
    <row r="196" customFormat="false" ht="22.35" hidden="false" customHeight="false" outlineLevel="0" collapsed="false">
      <c r="A196" s="5" t="s">
        <v>1890</v>
      </c>
      <c r="B196" s="5" t="s">
        <v>1866</v>
      </c>
      <c r="C196" s="5" t="s">
        <v>1891</v>
      </c>
      <c r="D196" s="5" t="s">
        <v>1892</v>
      </c>
      <c r="E196" s="5" t="n">
        <v>2</v>
      </c>
      <c r="F196" s="5" t="s">
        <v>164</v>
      </c>
      <c r="G196" s="5" t="s">
        <v>361</v>
      </c>
      <c r="H196" s="5" t="s">
        <v>1895</v>
      </c>
      <c r="I196" s="5" t="s">
        <v>51</v>
      </c>
      <c r="J196" s="5" t="s">
        <v>408</v>
      </c>
      <c r="K196" s="5" t="s">
        <v>1329</v>
      </c>
      <c r="L196" s="5" t="s">
        <v>1872</v>
      </c>
      <c r="M196" s="5" t="s">
        <v>774</v>
      </c>
      <c r="N196" s="5" t="s">
        <v>84</v>
      </c>
    </row>
    <row r="197" customFormat="false" ht="22.35" hidden="false" customHeight="false" outlineLevel="0" collapsed="false">
      <c r="A197" s="5" t="s">
        <v>1899</v>
      </c>
      <c r="B197" s="5" t="s">
        <v>1901</v>
      </c>
      <c r="C197" s="5" t="s">
        <v>1902</v>
      </c>
      <c r="D197" s="5" t="s">
        <v>1903</v>
      </c>
      <c r="E197" s="5" t="n">
        <v>1</v>
      </c>
      <c r="F197" s="5" t="s">
        <v>53</v>
      </c>
      <c r="G197" s="5" t="s">
        <v>1908</v>
      </c>
      <c r="H197" s="5" t="s">
        <v>1907</v>
      </c>
      <c r="I197" s="5" t="s">
        <v>84</v>
      </c>
      <c r="J197" s="5" t="s">
        <v>408</v>
      </c>
      <c r="K197" s="5" t="s">
        <v>1905</v>
      </c>
      <c r="L197" s="5" t="s">
        <v>1556</v>
      </c>
      <c r="M197" s="5" t="s">
        <v>58</v>
      </c>
      <c r="N197" s="5" t="s">
        <v>51</v>
      </c>
    </row>
    <row r="198" customFormat="false" ht="22.35" hidden="false" customHeight="false" outlineLevel="0" collapsed="false">
      <c r="A198" s="5" t="s">
        <v>1912</v>
      </c>
      <c r="B198" s="5" t="s">
        <v>1901</v>
      </c>
      <c r="C198" s="5" t="s">
        <v>1913</v>
      </c>
      <c r="D198" s="5" t="s">
        <v>1914</v>
      </c>
      <c r="E198" s="5" t="n">
        <v>7</v>
      </c>
      <c r="F198" s="5" t="s">
        <v>164</v>
      </c>
      <c r="G198" s="5" t="s">
        <v>771</v>
      </c>
      <c r="H198" s="5" t="s">
        <v>1917</v>
      </c>
      <c r="I198" s="5" t="s">
        <v>51</v>
      </c>
      <c r="J198" s="5" t="s">
        <v>408</v>
      </c>
      <c r="K198" s="5" t="s">
        <v>1491</v>
      </c>
      <c r="L198" s="5" t="s">
        <v>1899</v>
      </c>
      <c r="M198" s="5" t="s">
        <v>774</v>
      </c>
      <c r="N198" s="5" t="s">
        <v>51</v>
      </c>
    </row>
    <row r="199" customFormat="false" ht="22.35" hidden="false" customHeight="false" outlineLevel="0" collapsed="false">
      <c r="A199" s="5" t="s">
        <v>1921</v>
      </c>
      <c r="B199" s="5" t="s">
        <v>1901</v>
      </c>
      <c r="C199" s="5" t="s">
        <v>1922</v>
      </c>
      <c r="D199" s="5" t="s">
        <v>1923</v>
      </c>
      <c r="E199" s="5" t="n">
        <v>4</v>
      </c>
      <c r="F199" s="5" t="s">
        <v>164</v>
      </c>
      <c r="G199" s="5" t="s">
        <v>379</v>
      </c>
      <c r="H199" s="5" t="s">
        <v>1926</v>
      </c>
      <c r="I199" s="5" t="s">
        <v>51</v>
      </c>
      <c r="J199" s="5" t="s">
        <v>408</v>
      </c>
      <c r="K199" s="5" t="s">
        <v>1329</v>
      </c>
      <c r="L199" s="5" t="s">
        <v>1912</v>
      </c>
      <c r="M199" s="5" t="s">
        <v>58</v>
      </c>
      <c r="N199" s="5" t="s">
        <v>51</v>
      </c>
    </row>
    <row r="200" customFormat="false" ht="22.35" hidden="false" customHeight="false" outlineLevel="0" collapsed="false">
      <c r="A200" s="5" t="s">
        <v>1930</v>
      </c>
      <c r="B200" s="5" t="s">
        <v>1901</v>
      </c>
      <c r="C200" s="5" t="s">
        <v>1931</v>
      </c>
      <c r="D200" s="5" t="s">
        <v>1932</v>
      </c>
      <c r="E200" s="5" t="n">
        <v>4</v>
      </c>
      <c r="F200" s="5" t="s">
        <v>164</v>
      </c>
      <c r="G200" s="5" t="s">
        <v>379</v>
      </c>
      <c r="H200" s="5" t="s">
        <v>1935</v>
      </c>
      <c r="I200" s="5" t="s">
        <v>51</v>
      </c>
      <c r="J200" s="5" t="s">
        <v>408</v>
      </c>
      <c r="K200" s="5" t="s">
        <v>1329</v>
      </c>
      <c r="L200" s="5" t="s">
        <v>1921</v>
      </c>
      <c r="M200" s="5" t="s">
        <v>58</v>
      </c>
      <c r="N200" s="5" t="s">
        <v>51</v>
      </c>
    </row>
    <row r="201" customFormat="false" ht="22.35" hidden="false" customHeight="false" outlineLevel="0" collapsed="false">
      <c r="A201" s="5" t="s">
        <v>1938</v>
      </c>
      <c r="B201" s="5" t="s">
        <v>1901</v>
      </c>
      <c r="C201" s="5" t="s">
        <v>1939</v>
      </c>
      <c r="D201" s="5" t="s">
        <v>1940</v>
      </c>
      <c r="E201" s="5" t="n">
        <v>1</v>
      </c>
      <c r="F201" s="5" t="s">
        <v>53</v>
      </c>
      <c r="G201" s="5" t="s">
        <v>67</v>
      </c>
      <c r="H201" s="5" t="s">
        <v>1943</v>
      </c>
      <c r="I201" s="5" t="s">
        <v>84</v>
      </c>
      <c r="J201" s="5" t="s">
        <v>408</v>
      </c>
      <c r="K201" s="5" t="s">
        <v>1329</v>
      </c>
      <c r="L201" s="5" t="s">
        <v>1930</v>
      </c>
      <c r="M201" s="5" t="s">
        <v>58</v>
      </c>
      <c r="N201" s="5" t="s">
        <v>51</v>
      </c>
    </row>
    <row r="202" customFormat="false" ht="22.35" hidden="false" customHeight="false" outlineLevel="0" collapsed="false">
      <c r="A202" s="5" t="s">
        <v>1947</v>
      </c>
      <c r="B202" s="5" t="s">
        <v>1949</v>
      </c>
      <c r="C202" s="5" t="s">
        <v>1950</v>
      </c>
      <c r="D202" s="5" t="s">
        <v>1951</v>
      </c>
      <c r="E202" s="5" t="n">
        <v>1</v>
      </c>
      <c r="F202" s="5" t="s">
        <v>53</v>
      </c>
      <c r="G202" s="5" t="s">
        <v>389</v>
      </c>
      <c r="H202" s="5" t="s">
        <v>258</v>
      </c>
      <c r="I202" s="5" t="s">
        <v>51</v>
      </c>
      <c r="J202" s="5" t="s">
        <v>79</v>
      </c>
      <c r="K202" s="5" t="s">
        <v>1115</v>
      </c>
      <c r="L202" s="5" t="s">
        <v>917</v>
      </c>
      <c r="M202" s="5" t="s">
        <v>58</v>
      </c>
      <c r="N202" s="5" t="s">
        <v>51</v>
      </c>
    </row>
    <row r="203" customFormat="false" ht="22.35" hidden="false" customHeight="false" outlineLevel="0" collapsed="false">
      <c r="A203" s="5" t="s">
        <v>1957</v>
      </c>
      <c r="B203" s="5" t="s">
        <v>1949</v>
      </c>
      <c r="C203" s="5" t="s">
        <v>1958</v>
      </c>
      <c r="D203" s="5" t="s">
        <v>1959</v>
      </c>
      <c r="E203" s="5" t="n">
        <v>2</v>
      </c>
      <c r="F203" s="5" t="s">
        <v>53</v>
      </c>
      <c r="G203" s="5" t="s">
        <v>1964</v>
      </c>
      <c r="H203" s="5" t="s">
        <v>1963</v>
      </c>
      <c r="I203" s="5" t="s">
        <v>51</v>
      </c>
      <c r="J203" s="5" t="s">
        <v>79</v>
      </c>
      <c r="K203" s="5" t="s">
        <v>1961</v>
      </c>
      <c r="L203" s="5" t="s">
        <v>886</v>
      </c>
      <c r="M203" s="5" t="s">
        <v>58</v>
      </c>
      <c r="N203" s="5" t="s">
        <v>51</v>
      </c>
    </row>
    <row r="204" customFormat="false" ht="22.35" hidden="false" customHeight="false" outlineLevel="0" collapsed="false">
      <c r="A204" s="5" t="s">
        <v>1968</v>
      </c>
      <c r="B204" s="5" t="s">
        <v>1949</v>
      </c>
      <c r="C204" s="5" t="s">
        <v>1969</v>
      </c>
      <c r="D204" s="5" t="s">
        <v>1970</v>
      </c>
      <c r="E204" s="5" t="n">
        <v>1</v>
      </c>
      <c r="F204" s="5" t="s">
        <v>53</v>
      </c>
      <c r="G204" s="5" t="s">
        <v>67</v>
      </c>
      <c r="H204" s="5" t="s">
        <v>1973</v>
      </c>
      <c r="I204" s="5" t="s">
        <v>51</v>
      </c>
      <c r="J204" s="5" t="s">
        <v>79</v>
      </c>
      <c r="K204" s="5" t="s">
        <v>1115</v>
      </c>
      <c r="L204" s="5" t="s">
        <v>1205</v>
      </c>
      <c r="M204" s="5" t="s">
        <v>58</v>
      </c>
      <c r="N204" s="5" t="s">
        <v>51</v>
      </c>
    </row>
    <row r="205" customFormat="false" ht="22.35" hidden="false" customHeight="false" outlineLevel="0" collapsed="false">
      <c r="A205" s="5" t="s">
        <v>1977</v>
      </c>
      <c r="B205" s="5" t="s">
        <v>1949</v>
      </c>
      <c r="C205" s="5" t="s">
        <v>1978</v>
      </c>
      <c r="D205" s="5" t="s">
        <v>1979</v>
      </c>
      <c r="E205" s="5" t="n">
        <v>1</v>
      </c>
      <c r="F205" s="5" t="s">
        <v>53</v>
      </c>
      <c r="G205" s="5" t="s">
        <v>389</v>
      </c>
      <c r="H205" s="5" t="s">
        <v>1963</v>
      </c>
      <c r="I205" s="5" t="s">
        <v>51</v>
      </c>
      <c r="J205" s="5" t="s">
        <v>79</v>
      </c>
      <c r="K205" s="5" t="s">
        <v>1115</v>
      </c>
      <c r="L205" s="5" t="s">
        <v>1981</v>
      </c>
      <c r="M205" s="5" t="s">
        <v>58</v>
      </c>
      <c r="N205" s="5" t="s">
        <v>51</v>
      </c>
    </row>
    <row r="206" customFormat="false" ht="22.35" hidden="false" customHeight="false" outlineLevel="0" collapsed="false">
      <c r="A206" s="5" t="s">
        <v>1986</v>
      </c>
      <c r="B206" s="5" t="s">
        <v>1949</v>
      </c>
      <c r="C206" s="5" t="s">
        <v>1987</v>
      </c>
      <c r="D206" s="5" t="s">
        <v>1988</v>
      </c>
      <c r="E206" s="5" t="n">
        <v>1</v>
      </c>
      <c r="F206" s="5" t="s">
        <v>53</v>
      </c>
      <c r="G206" s="5" t="s">
        <v>389</v>
      </c>
      <c r="H206" s="5" t="s">
        <v>1991</v>
      </c>
      <c r="I206" s="5" t="s">
        <v>51</v>
      </c>
      <c r="J206" s="5" t="s">
        <v>79</v>
      </c>
      <c r="K206" s="5" t="s">
        <v>1115</v>
      </c>
      <c r="L206" s="5" t="s">
        <v>1947</v>
      </c>
      <c r="M206" s="5" t="s">
        <v>58</v>
      </c>
      <c r="N206" s="5" t="s">
        <v>84</v>
      </c>
    </row>
    <row r="207" customFormat="false" ht="22.35" hidden="false" customHeight="false" outlineLevel="0" collapsed="false">
      <c r="A207" s="5" t="s">
        <v>1995</v>
      </c>
      <c r="B207" s="5" t="s">
        <v>1949</v>
      </c>
      <c r="C207" s="5" t="s">
        <v>1996</v>
      </c>
      <c r="D207" s="5" t="s">
        <v>1997</v>
      </c>
      <c r="E207" s="5" t="n">
        <v>1</v>
      </c>
      <c r="F207" s="5" t="s">
        <v>53</v>
      </c>
      <c r="G207" s="5" t="s">
        <v>389</v>
      </c>
      <c r="H207" s="5" t="s">
        <v>2000</v>
      </c>
      <c r="I207" s="5" t="s">
        <v>51</v>
      </c>
      <c r="J207" s="5" t="s">
        <v>79</v>
      </c>
      <c r="K207" s="5" t="s">
        <v>578</v>
      </c>
      <c r="L207" s="5" t="s">
        <v>574</v>
      </c>
      <c r="M207" s="5" t="s">
        <v>58</v>
      </c>
      <c r="N207" s="5" t="s">
        <v>51</v>
      </c>
    </row>
    <row r="208" customFormat="false" ht="22.35" hidden="false" customHeight="false" outlineLevel="0" collapsed="false">
      <c r="A208" s="5" t="s">
        <v>2004</v>
      </c>
      <c r="B208" s="5" t="s">
        <v>1949</v>
      </c>
      <c r="C208" s="5" t="s">
        <v>2005</v>
      </c>
      <c r="D208" s="5" t="s">
        <v>2006</v>
      </c>
      <c r="E208" s="5" t="n">
        <v>2</v>
      </c>
      <c r="F208" s="5" t="s">
        <v>53</v>
      </c>
      <c r="G208" s="5" t="s">
        <v>238</v>
      </c>
      <c r="H208" s="5" t="s">
        <v>2009</v>
      </c>
      <c r="I208" s="5" t="s">
        <v>51</v>
      </c>
      <c r="J208" s="5" t="s">
        <v>52</v>
      </c>
      <c r="K208" s="5" t="s">
        <v>1115</v>
      </c>
      <c r="L208" s="5" t="s">
        <v>886</v>
      </c>
      <c r="M208" s="5" t="s">
        <v>58</v>
      </c>
      <c r="N208" s="5" t="s">
        <v>84</v>
      </c>
    </row>
    <row r="209" customFormat="false" ht="22.35" hidden="false" customHeight="false" outlineLevel="0" collapsed="false">
      <c r="A209" s="5" t="s">
        <v>2013</v>
      </c>
      <c r="B209" s="5" t="s">
        <v>1949</v>
      </c>
      <c r="C209" s="5" t="s">
        <v>2014</v>
      </c>
      <c r="D209" s="5" t="s">
        <v>2015</v>
      </c>
      <c r="E209" s="5" t="n">
        <v>1</v>
      </c>
      <c r="F209" s="5" t="s">
        <v>53</v>
      </c>
      <c r="G209" s="5" t="s">
        <v>67</v>
      </c>
      <c r="H209" s="5" t="s">
        <v>2018</v>
      </c>
      <c r="I209" s="5" t="s">
        <v>51</v>
      </c>
      <c r="J209" s="5" t="s">
        <v>79</v>
      </c>
      <c r="K209" s="5" t="s">
        <v>1115</v>
      </c>
      <c r="L209" s="5" t="s">
        <v>744</v>
      </c>
      <c r="M209" s="5" t="s">
        <v>58</v>
      </c>
      <c r="N209" s="5" t="s">
        <v>51</v>
      </c>
    </row>
    <row r="210" customFormat="false" ht="22.35" hidden="false" customHeight="false" outlineLevel="0" collapsed="false">
      <c r="A210" s="5" t="s">
        <v>2022</v>
      </c>
      <c r="B210" s="5" t="s">
        <v>1949</v>
      </c>
      <c r="C210" s="5" t="s">
        <v>2023</v>
      </c>
      <c r="D210" s="5" t="s">
        <v>2024</v>
      </c>
      <c r="E210" s="5" t="n">
        <v>3</v>
      </c>
      <c r="F210" s="5" t="s">
        <v>164</v>
      </c>
      <c r="G210" s="5" t="s">
        <v>831</v>
      </c>
      <c r="H210" s="5" t="s">
        <v>2028</v>
      </c>
      <c r="I210" s="5" t="s">
        <v>51</v>
      </c>
      <c r="J210" s="5" t="s">
        <v>408</v>
      </c>
      <c r="K210" s="5" t="s">
        <v>2026</v>
      </c>
      <c r="L210" s="5" t="s">
        <v>232</v>
      </c>
      <c r="M210" s="5" t="s">
        <v>58</v>
      </c>
      <c r="N210" s="5" t="s">
        <v>51</v>
      </c>
    </row>
    <row r="211" customFormat="false" ht="22.35" hidden="false" customHeight="false" outlineLevel="0" collapsed="false">
      <c r="A211" s="5" t="s">
        <v>2031</v>
      </c>
      <c r="B211" s="5" t="s">
        <v>1949</v>
      </c>
      <c r="C211" s="5" t="s">
        <v>2032</v>
      </c>
      <c r="D211" s="5" t="s">
        <v>2033</v>
      </c>
      <c r="E211" s="5" t="n">
        <v>1</v>
      </c>
      <c r="F211" s="5" t="s">
        <v>53</v>
      </c>
      <c r="G211" s="5" t="s">
        <v>67</v>
      </c>
      <c r="H211" s="5" t="s">
        <v>1851</v>
      </c>
      <c r="I211" s="5" t="s">
        <v>84</v>
      </c>
      <c r="J211" s="5" t="s">
        <v>52</v>
      </c>
      <c r="K211" s="5" t="s">
        <v>693</v>
      </c>
      <c r="L211" s="5" t="s">
        <v>232</v>
      </c>
      <c r="M211" s="5" t="s">
        <v>532</v>
      </c>
      <c r="N211" s="5" t="s">
        <v>84</v>
      </c>
    </row>
    <row r="212" customFormat="false" ht="22.35" hidden="false" customHeight="false" outlineLevel="0" collapsed="false">
      <c r="A212" s="5" t="s">
        <v>2039</v>
      </c>
      <c r="B212" s="5" t="s">
        <v>1949</v>
      </c>
      <c r="C212" s="5" t="s">
        <v>2040</v>
      </c>
      <c r="D212" s="5" t="s">
        <v>2041</v>
      </c>
      <c r="E212" s="5" t="n">
        <v>1</v>
      </c>
      <c r="F212" s="5" t="s">
        <v>53</v>
      </c>
      <c r="G212" s="5" t="s">
        <v>389</v>
      </c>
      <c r="H212" s="5" t="s">
        <v>2045</v>
      </c>
      <c r="I212" s="5" t="s">
        <v>51</v>
      </c>
      <c r="J212" s="5" t="s">
        <v>79</v>
      </c>
      <c r="K212" s="5" t="s">
        <v>578</v>
      </c>
      <c r="L212" s="5" t="s">
        <v>2043</v>
      </c>
      <c r="M212" s="5" t="s">
        <v>58</v>
      </c>
      <c r="N212" s="5" t="s">
        <v>84</v>
      </c>
    </row>
    <row r="213" customFormat="false" ht="22.35" hidden="false" customHeight="false" outlineLevel="0" collapsed="false">
      <c r="A213" s="5" t="s">
        <v>1300</v>
      </c>
      <c r="B213" s="5" t="s">
        <v>2050</v>
      </c>
      <c r="C213" s="5" t="s">
        <v>2051</v>
      </c>
      <c r="D213" s="5" t="s">
        <v>2052</v>
      </c>
      <c r="E213" s="5" t="n">
        <v>1</v>
      </c>
      <c r="F213" s="5" t="s">
        <v>53</v>
      </c>
      <c r="G213" s="5" t="s">
        <v>389</v>
      </c>
      <c r="H213" s="5" t="s">
        <v>2055</v>
      </c>
      <c r="I213" s="5" t="s">
        <v>51</v>
      </c>
      <c r="J213" s="5" t="s">
        <v>79</v>
      </c>
      <c r="K213" s="5" t="s">
        <v>578</v>
      </c>
      <c r="L213" s="5" t="s">
        <v>1556</v>
      </c>
      <c r="M213" s="5" t="s">
        <v>58</v>
      </c>
      <c r="N213" s="5" t="s">
        <v>51</v>
      </c>
    </row>
    <row r="214" customFormat="false" ht="22.35" hidden="false" customHeight="false" outlineLevel="0" collapsed="false">
      <c r="A214" s="5" t="s">
        <v>2059</v>
      </c>
      <c r="B214" s="5" t="s">
        <v>2050</v>
      </c>
      <c r="C214" s="5" t="s">
        <v>2060</v>
      </c>
      <c r="D214" s="5" t="s">
        <v>2061</v>
      </c>
      <c r="E214" s="5" t="n">
        <v>1</v>
      </c>
      <c r="F214" s="5" t="s">
        <v>53</v>
      </c>
      <c r="G214" s="5" t="s">
        <v>67</v>
      </c>
      <c r="H214" s="5" t="s">
        <v>2065</v>
      </c>
      <c r="I214" s="5" t="s">
        <v>84</v>
      </c>
      <c r="J214" s="5" t="s">
        <v>408</v>
      </c>
      <c r="K214" s="5" t="s">
        <v>1115</v>
      </c>
      <c r="L214" s="5" t="s">
        <v>2063</v>
      </c>
      <c r="M214" s="5" t="s">
        <v>58</v>
      </c>
      <c r="N214" s="5" t="s">
        <v>51</v>
      </c>
    </row>
    <row r="215" customFormat="false" ht="22.35" hidden="false" customHeight="false" outlineLevel="0" collapsed="false">
      <c r="A215" s="5" t="s">
        <v>2069</v>
      </c>
      <c r="B215" s="5" t="s">
        <v>2050</v>
      </c>
      <c r="C215" s="5" t="s">
        <v>2070</v>
      </c>
      <c r="D215" s="5" t="s">
        <v>2071</v>
      </c>
      <c r="E215" s="5" t="n">
        <v>2</v>
      </c>
      <c r="F215" s="5" t="s">
        <v>164</v>
      </c>
      <c r="G215" s="5" t="s">
        <v>361</v>
      </c>
      <c r="H215" s="5" t="s">
        <v>2074</v>
      </c>
      <c r="I215" s="5" t="s">
        <v>51</v>
      </c>
      <c r="J215" s="5" t="s">
        <v>52</v>
      </c>
      <c r="K215" s="5" t="s">
        <v>1115</v>
      </c>
      <c r="L215" s="5" t="s">
        <v>934</v>
      </c>
      <c r="M215" s="5" t="s">
        <v>58</v>
      </c>
      <c r="N215" s="5" t="s">
        <v>84</v>
      </c>
    </row>
    <row r="216" customFormat="false" ht="22.35" hidden="false" customHeight="false" outlineLevel="0" collapsed="false">
      <c r="A216" s="5" t="s">
        <v>2078</v>
      </c>
      <c r="B216" s="5" t="s">
        <v>2050</v>
      </c>
      <c r="C216" s="5" t="s">
        <v>2079</v>
      </c>
      <c r="D216" s="5" t="s">
        <v>2080</v>
      </c>
      <c r="E216" s="5" t="n">
        <v>1</v>
      </c>
      <c r="F216" s="5" t="s">
        <v>53</v>
      </c>
      <c r="G216" s="5" t="s">
        <v>389</v>
      </c>
      <c r="H216" s="5" t="s">
        <v>1647</v>
      </c>
      <c r="I216" s="5" t="s">
        <v>51</v>
      </c>
      <c r="J216" s="5" t="s">
        <v>79</v>
      </c>
      <c r="K216" s="5" t="s">
        <v>1664</v>
      </c>
      <c r="L216" s="5" t="s">
        <v>2082</v>
      </c>
      <c r="M216" s="5" t="s">
        <v>58</v>
      </c>
      <c r="N216" s="5" t="s">
        <v>51</v>
      </c>
    </row>
    <row r="217" customFormat="false" ht="22.35" hidden="false" customHeight="false" outlineLevel="0" collapsed="false">
      <c r="A217" s="5" t="s">
        <v>2087</v>
      </c>
      <c r="B217" s="5" t="s">
        <v>2089</v>
      </c>
      <c r="C217" s="5" t="s">
        <v>2090</v>
      </c>
      <c r="D217" s="5" t="s">
        <v>2091</v>
      </c>
      <c r="E217" s="5" t="n">
        <v>1</v>
      </c>
      <c r="F217" s="5" t="s">
        <v>53</v>
      </c>
      <c r="G217" s="5" t="s">
        <v>1103</v>
      </c>
      <c r="H217" s="5" t="s">
        <v>315</v>
      </c>
      <c r="I217" s="5" t="s">
        <v>84</v>
      </c>
      <c r="J217" s="5" t="s">
        <v>52</v>
      </c>
      <c r="K217" s="5" t="s">
        <v>196</v>
      </c>
      <c r="L217" s="5" t="s">
        <v>289</v>
      </c>
      <c r="M217" s="5" t="s">
        <v>58</v>
      </c>
      <c r="N217" s="5" t="s">
        <v>51</v>
      </c>
    </row>
    <row r="218" customFormat="false" ht="22.35" hidden="false" customHeight="false" outlineLevel="0" collapsed="false">
      <c r="A218" s="5" t="s">
        <v>2097</v>
      </c>
      <c r="B218" s="5" t="s">
        <v>2089</v>
      </c>
      <c r="C218" s="5" t="s">
        <v>2098</v>
      </c>
      <c r="D218" s="5" t="s">
        <v>2099</v>
      </c>
      <c r="E218" s="5" t="n">
        <v>1</v>
      </c>
      <c r="F218" s="5" t="s">
        <v>53</v>
      </c>
      <c r="G218" s="5" t="s">
        <v>2103</v>
      </c>
      <c r="H218" s="5" t="s">
        <v>2102</v>
      </c>
      <c r="I218" s="5" t="s">
        <v>51</v>
      </c>
      <c r="J218" s="5" t="s">
        <v>79</v>
      </c>
      <c r="K218" s="5" t="s">
        <v>1115</v>
      </c>
      <c r="L218" s="5" t="s">
        <v>1170</v>
      </c>
      <c r="M218" s="5" t="s">
        <v>58</v>
      </c>
      <c r="N218" s="5" t="s">
        <v>51</v>
      </c>
    </row>
    <row r="219" customFormat="false" ht="22.35" hidden="false" customHeight="false" outlineLevel="0" collapsed="false">
      <c r="A219" s="5" t="s">
        <v>2107</v>
      </c>
      <c r="B219" s="5" t="s">
        <v>2089</v>
      </c>
      <c r="C219" s="5" t="s">
        <v>2108</v>
      </c>
      <c r="D219" s="5" t="s">
        <v>2109</v>
      </c>
      <c r="E219" s="5" t="n">
        <v>2</v>
      </c>
      <c r="F219" s="5" t="s">
        <v>53</v>
      </c>
      <c r="G219" s="5" t="s">
        <v>238</v>
      </c>
      <c r="H219" s="5" t="s">
        <v>2113</v>
      </c>
      <c r="I219" s="5" t="s">
        <v>51</v>
      </c>
      <c r="J219" s="5" t="s">
        <v>79</v>
      </c>
      <c r="K219" s="5" t="s">
        <v>2111</v>
      </c>
      <c r="L219" s="5" t="s">
        <v>1212</v>
      </c>
      <c r="M219" s="5" t="s">
        <v>58</v>
      </c>
      <c r="N219" s="5" t="s">
        <v>51</v>
      </c>
    </row>
    <row r="220" customFormat="false" ht="22.35" hidden="false" customHeight="false" outlineLevel="0" collapsed="false">
      <c r="A220" s="5" t="s">
        <v>2117</v>
      </c>
      <c r="B220" s="5" t="s">
        <v>2089</v>
      </c>
      <c r="C220" s="5" t="s">
        <v>2118</v>
      </c>
      <c r="D220" s="5" t="s">
        <v>2119</v>
      </c>
      <c r="E220" s="5" t="n">
        <v>2</v>
      </c>
      <c r="F220" s="5" t="s">
        <v>53</v>
      </c>
      <c r="G220" s="5" t="s">
        <v>238</v>
      </c>
      <c r="H220" s="5" t="s">
        <v>2122</v>
      </c>
      <c r="I220" s="5" t="s">
        <v>663</v>
      </c>
      <c r="J220" s="5" t="s">
        <v>79</v>
      </c>
      <c r="K220" s="5" t="s">
        <v>693</v>
      </c>
      <c r="L220" s="5" t="s">
        <v>824</v>
      </c>
      <c r="M220" s="5" t="s">
        <v>58</v>
      </c>
      <c r="N220" s="5" t="s">
        <v>84</v>
      </c>
    </row>
    <row r="221" customFormat="false" ht="22.35" hidden="false" customHeight="false" outlineLevel="0" collapsed="false">
      <c r="A221" s="5" t="s">
        <v>2125</v>
      </c>
      <c r="B221" s="5" t="s">
        <v>2089</v>
      </c>
      <c r="C221" s="5" t="s">
        <v>2126</v>
      </c>
      <c r="D221" s="5" t="s">
        <v>2127</v>
      </c>
      <c r="E221" s="5" t="n">
        <v>1</v>
      </c>
      <c r="F221" s="5" t="s">
        <v>53</v>
      </c>
      <c r="G221" s="5" t="s">
        <v>389</v>
      </c>
      <c r="H221" s="5" t="s">
        <v>2130</v>
      </c>
      <c r="I221" s="5" t="s">
        <v>51</v>
      </c>
      <c r="J221" s="5" t="s">
        <v>79</v>
      </c>
      <c r="K221" s="5" t="s">
        <v>1664</v>
      </c>
      <c r="L221" s="5" t="s">
        <v>1009</v>
      </c>
      <c r="M221" s="5" t="s">
        <v>58</v>
      </c>
      <c r="N221" s="5" t="s">
        <v>51</v>
      </c>
    </row>
    <row r="222" customFormat="false" ht="22.35" hidden="false" customHeight="false" outlineLevel="0" collapsed="false">
      <c r="A222" s="5" t="s">
        <v>2133</v>
      </c>
      <c r="B222" s="5" t="s">
        <v>2089</v>
      </c>
      <c r="C222" s="5" t="s">
        <v>2134</v>
      </c>
      <c r="D222" s="5" t="s">
        <v>2135</v>
      </c>
      <c r="E222" s="5" t="n">
        <v>1</v>
      </c>
      <c r="F222" s="5" t="s">
        <v>53</v>
      </c>
      <c r="G222" s="5" t="s">
        <v>67</v>
      </c>
      <c r="H222" s="5" t="s">
        <v>2139</v>
      </c>
      <c r="I222" s="5" t="s">
        <v>51</v>
      </c>
      <c r="J222" s="5" t="s">
        <v>79</v>
      </c>
      <c r="K222" s="5" t="s">
        <v>2111</v>
      </c>
      <c r="L222" s="5" t="s">
        <v>2137</v>
      </c>
      <c r="M222" s="5" t="s">
        <v>58</v>
      </c>
      <c r="N222" s="5" t="s">
        <v>51</v>
      </c>
    </row>
    <row r="223" customFormat="false" ht="22.35" hidden="false" customHeight="false" outlineLevel="0" collapsed="false">
      <c r="A223" s="5" t="s">
        <v>2143</v>
      </c>
      <c r="B223" s="5" t="s">
        <v>2089</v>
      </c>
      <c r="C223" s="5" t="s">
        <v>2144</v>
      </c>
      <c r="D223" s="5" t="s">
        <v>2145</v>
      </c>
      <c r="E223" s="5" t="n">
        <v>1</v>
      </c>
      <c r="F223" s="5" t="s">
        <v>53</v>
      </c>
      <c r="G223" s="5" t="s">
        <v>67</v>
      </c>
      <c r="H223" s="5" t="s">
        <v>2148</v>
      </c>
      <c r="I223" s="5" t="s">
        <v>51</v>
      </c>
      <c r="J223" s="5" t="s">
        <v>79</v>
      </c>
      <c r="K223" s="5" t="s">
        <v>1664</v>
      </c>
      <c r="L223" s="5" t="s">
        <v>1205</v>
      </c>
      <c r="M223" s="5" t="s">
        <v>58</v>
      </c>
      <c r="N223" s="5" t="s">
        <v>84</v>
      </c>
    </row>
    <row r="224" customFormat="false" ht="22.35" hidden="false" customHeight="false" outlineLevel="0" collapsed="false">
      <c r="A224" s="5" t="s">
        <v>2152</v>
      </c>
      <c r="B224" s="5" t="s">
        <v>2089</v>
      </c>
      <c r="C224" s="5" t="s">
        <v>2153</v>
      </c>
      <c r="D224" s="5" t="s">
        <v>2154</v>
      </c>
      <c r="E224" s="5" t="n">
        <v>2</v>
      </c>
      <c r="F224" s="5" t="s">
        <v>164</v>
      </c>
      <c r="G224" s="5" t="s">
        <v>238</v>
      </c>
      <c r="H224" s="5" t="s">
        <v>2158</v>
      </c>
      <c r="I224" s="5" t="s">
        <v>51</v>
      </c>
      <c r="J224" s="5" t="s">
        <v>52</v>
      </c>
      <c r="K224" s="5" t="s">
        <v>1664</v>
      </c>
      <c r="L224" s="5" t="s">
        <v>3255</v>
      </c>
      <c r="M224" s="5" t="s">
        <v>58</v>
      </c>
      <c r="N224" s="5" t="s">
        <v>51</v>
      </c>
    </row>
    <row r="225" customFormat="false" ht="22.35" hidden="false" customHeight="false" outlineLevel="0" collapsed="false">
      <c r="A225" s="5" t="s">
        <v>2162</v>
      </c>
      <c r="B225" s="5" t="s">
        <v>2164</v>
      </c>
      <c r="C225" s="5" t="s">
        <v>2165</v>
      </c>
      <c r="D225" s="5" t="s">
        <v>2166</v>
      </c>
      <c r="E225" s="5" t="n">
        <v>1</v>
      </c>
      <c r="F225" s="5" t="s">
        <v>53</v>
      </c>
      <c r="G225" s="5" t="s">
        <v>105</v>
      </c>
      <c r="H225" s="5" t="s">
        <v>2169</v>
      </c>
      <c r="I225" s="5" t="s">
        <v>51</v>
      </c>
      <c r="J225" s="5" t="s">
        <v>52</v>
      </c>
      <c r="K225" s="5" t="s">
        <v>1115</v>
      </c>
      <c r="L225" s="5" t="s">
        <v>289</v>
      </c>
      <c r="M225" s="5" t="s">
        <v>58</v>
      </c>
      <c r="N225" s="5" t="s">
        <v>51</v>
      </c>
    </row>
    <row r="226" customFormat="false" ht="22.35" hidden="false" customHeight="false" outlineLevel="0" collapsed="false">
      <c r="A226" s="5" t="s">
        <v>2172</v>
      </c>
      <c r="B226" s="5" t="s">
        <v>2164</v>
      </c>
      <c r="C226" s="5" t="s">
        <v>2173</v>
      </c>
      <c r="D226" s="5" t="s">
        <v>2174</v>
      </c>
      <c r="E226" s="5" t="n">
        <v>2</v>
      </c>
      <c r="F226" s="5" t="s">
        <v>53</v>
      </c>
      <c r="G226" s="5" t="s">
        <v>238</v>
      </c>
      <c r="H226" s="5" t="s">
        <v>2177</v>
      </c>
      <c r="I226" s="5" t="s">
        <v>51</v>
      </c>
      <c r="J226" s="5" t="s">
        <v>79</v>
      </c>
      <c r="K226" s="5" t="s">
        <v>1115</v>
      </c>
      <c r="L226" s="5" t="s">
        <v>824</v>
      </c>
      <c r="M226" s="5" t="s">
        <v>58</v>
      </c>
      <c r="N226" s="5" t="s">
        <v>84</v>
      </c>
    </row>
    <row r="227" customFormat="false" ht="22.35" hidden="false" customHeight="false" outlineLevel="0" collapsed="false">
      <c r="A227" s="5" t="s">
        <v>2180</v>
      </c>
      <c r="B227" s="5" t="s">
        <v>2164</v>
      </c>
      <c r="C227" s="5" t="s">
        <v>2181</v>
      </c>
      <c r="D227" s="5" t="s">
        <v>2182</v>
      </c>
      <c r="E227" s="5" t="n">
        <v>1</v>
      </c>
      <c r="F227" s="5" t="s">
        <v>53</v>
      </c>
      <c r="G227" s="5" t="s">
        <v>67</v>
      </c>
      <c r="H227" s="5" t="s">
        <v>2185</v>
      </c>
      <c r="I227" s="5" t="s">
        <v>51</v>
      </c>
      <c r="J227" s="5" t="s">
        <v>52</v>
      </c>
      <c r="K227" s="5" t="s">
        <v>1115</v>
      </c>
      <c r="L227" s="5" t="s">
        <v>1153</v>
      </c>
      <c r="M227" s="5" t="s">
        <v>58</v>
      </c>
      <c r="N227" s="5" t="s">
        <v>51</v>
      </c>
    </row>
    <row r="228" customFormat="false" ht="22.35" hidden="false" customHeight="false" outlineLevel="0" collapsed="false">
      <c r="A228" s="5" t="s">
        <v>2189</v>
      </c>
      <c r="B228" s="5" t="s">
        <v>2164</v>
      </c>
      <c r="C228" s="5" t="s">
        <v>2190</v>
      </c>
      <c r="D228" s="5" t="s">
        <v>2191</v>
      </c>
      <c r="E228" s="5" t="n">
        <v>2</v>
      </c>
      <c r="F228" s="5" t="s">
        <v>164</v>
      </c>
      <c r="G228" s="5" t="s">
        <v>361</v>
      </c>
      <c r="H228" s="5" t="s">
        <v>2194</v>
      </c>
      <c r="I228" s="5" t="s">
        <v>51</v>
      </c>
      <c r="J228" s="5" t="s">
        <v>52</v>
      </c>
      <c r="K228" s="5" t="s">
        <v>1115</v>
      </c>
      <c r="L228" s="5" t="s">
        <v>1196</v>
      </c>
      <c r="M228" s="5" t="s">
        <v>58</v>
      </c>
      <c r="N228" s="5" t="s">
        <v>51</v>
      </c>
    </row>
    <row r="229" customFormat="false" ht="22.35" hidden="false" customHeight="false" outlineLevel="0" collapsed="false">
      <c r="A229" s="5" t="s">
        <v>2198</v>
      </c>
      <c r="B229" s="5" t="s">
        <v>2164</v>
      </c>
      <c r="C229" s="5" t="s">
        <v>2199</v>
      </c>
      <c r="D229" s="5" t="s">
        <v>2200</v>
      </c>
      <c r="E229" s="5" t="n">
        <v>1</v>
      </c>
      <c r="F229" s="5" t="s">
        <v>53</v>
      </c>
      <c r="G229" s="5" t="s">
        <v>67</v>
      </c>
      <c r="H229" s="5" t="s">
        <v>2204</v>
      </c>
      <c r="I229" s="5" t="s">
        <v>51</v>
      </c>
      <c r="J229" s="5" t="s">
        <v>52</v>
      </c>
      <c r="K229" s="5" t="s">
        <v>578</v>
      </c>
      <c r="L229" s="5" t="s">
        <v>2202</v>
      </c>
      <c r="M229" s="5" t="s">
        <v>58</v>
      </c>
      <c r="N229" s="5" t="s">
        <v>84</v>
      </c>
    </row>
    <row r="230" customFormat="false" ht="22.35" hidden="false" customHeight="false" outlineLevel="0" collapsed="false">
      <c r="A230" s="5" t="s">
        <v>2208</v>
      </c>
      <c r="B230" s="5" t="s">
        <v>2164</v>
      </c>
      <c r="C230" s="5" t="s">
        <v>2209</v>
      </c>
      <c r="D230" s="5" t="s">
        <v>2210</v>
      </c>
      <c r="E230" s="5" t="n">
        <v>1</v>
      </c>
      <c r="F230" s="5" t="s">
        <v>53</v>
      </c>
      <c r="G230" s="5" t="s">
        <v>67</v>
      </c>
      <c r="H230" s="5" t="s">
        <v>2213</v>
      </c>
      <c r="I230" s="5" t="s">
        <v>51</v>
      </c>
      <c r="J230" s="5" t="s">
        <v>79</v>
      </c>
      <c r="K230" s="5" t="s">
        <v>1664</v>
      </c>
      <c r="L230" s="5" t="s">
        <v>3256</v>
      </c>
      <c r="M230" s="5" t="s">
        <v>58</v>
      </c>
      <c r="N230" s="5" t="s">
        <v>51</v>
      </c>
    </row>
    <row r="231" customFormat="false" ht="22.35" hidden="false" customHeight="false" outlineLevel="0" collapsed="false">
      <c r="A231" s="5" t="s">
        <v>2217</v>
      </c>
      <c r="B231" s="5" t="s">
        <v>2164</v>
      </c>
      <c r="C231" s="5" t="s">
        <v>2218</v>
      </c>
      <c r="D231" s="5" t="s">
        <v>2219</v>
      </c>
      <c r="E231" s="5" t="n">
        <v>1</v>
      </c>
      <c r="F231" s="5" t="s">
        <v>53</v>
      </c>
      <c r="G231" s="5" t="s">
        <v>389</v>
      </c>
      <c r="H231" s="5" t="s">
        <v>1647</v>
      </c>
      <c r="I231" s="5" t="s">
        <v>51</v>
      </c>
      <c r="J231" s="5" t="s">
        <v>2224</v>
      </c>
      <c r="K231" s="5" t="s">
        <v>1115</v>
      </c>
      <c r="L231" s="5" t="s">
        <v>2222</v>
      </c>
      <c r="M231" s="5" t="s">
        <v>532</v>
      </c>
      <c r="N231" s="5" t="s">
        <v>84</v>
      </c>
    </row>
    <row r="232" customFormat="false" ht="22.35" hidden="false" customHeight="false" outlineLevel="0" collapsed="false">
      <c r="A232" s="5" t="s">
        <v>2228</v>
      </c>
      <c r="B232" s="5" t="s">
        <v>2230</v>
      </c>
      <c r="C232" s="5" t="s">
        <v>2231</v>
      </c>
      <c r="D232" s="5" t="s">
        <v>2232</v>
      </c>
      <c r="E232" s="5" t="n">
        <v>1</v>
      </c>
      <c r="F232" s="5" t="s">
        <v>53</v>
      </c>
      <c r="G232" s="5" t="s">
        <v>67</v>
      </c>
      <c r="H232" s="5" t="s">
        <v>2185</v>
      </c>
      <c r="I232" s="5" t="s">
        <v>51</v>
      </c>
      <c r="J232" s="5" t="s">
        <v>79</v>
      </c>
      <c r="K232" s="5" t="s">
        <v>568</v>
      </c>
      <c r="L232" s="5" t="s">
        <v>1130</v>
      </c>
      <c r="M232" s="5" t="s">
        <v>58</v>
      </c>
      <c r="N232" s="5" t="s">
        <v>84</v>
      </c>
    </row>
    <row r="233" customFormat="false" ht="22.35" hidden="false" customHeight="false" outlineLevel="0" collapsed="false">
      <c r="A233" s="5" t="s">
        <v>2238</v>
      </c>
      <c r="B233" s="5" t="s">
        <v>2230</v>
      </c>
      <c r="C233" s="5" t="s">
        <v>2239</v>
      </c>
      <c r="D233" s="5" t="s">
        <v>2240</v>
      </c>
      <c r="E233" s="5" t="n">
        <v>2</v>
      </c>
      <c r="F233" s="5" t="s">
        <v>164</v>
      </c>
      <c r="G233" s="5" t="s">
        <v>361</v>
      </c>
      <c r="H233" s="5" t="s">
        <v>2243</v>
      </c>
      <c r="I233" s="5" t="s">
        <v>51</v>
      </c>
      <c r="J233" s="5" t="s">
        <v>52</v>
      </c>
      <c r="K233" s="5" t="s">
        <v>578</v>
      </c>
      <c r="L233" s="5" t="s">
        <v>2202</v>
      </c>
      <c r="M233" s="5" t="s">
        <v>58</v>
      </c>
      <c r="N233" s="5" t="s">
        <v>84</v>
      </c>
    </row>
    <row r="234" customFormat="false" ht="22.35" hidden="false" customHeight="false" outlineLevel="0" collapsed="false">
      <c r="A234" s="5" t="s">
        <v>2247</v>
      </c>
      <c r="B234" s="5" t="s">
        <v>2230</v>
      </c>
      <c r="C234" s="5" t="s">
        <v>2248</v>
      </c>
      <c r="D234" s="5" t="s">
        <v>2249</v>
      </c>
      <c r="E234" s="5" t="n">
        <v>1</v>
      </c>
      <c r="F234" s="5" t="s">
        <v>53</v>
      </c>
      <c r="G234" s="5" t="s">
        <v>389</v>
      </c>
      <c r="H234" s="5" t="s">
        <v>2185</v>
      </c>
      <c r="I234" s="5" t="s">
        <v>51</v>
      </c>
      <c r="J234" s="5" t="s">
        <v>79</v>
      </c>
      <c r="K234" s="5" t="s">
        <v>1329</v>
      </c>
      <c r="L234" s="5" t="s">
        <v>564</v>
      </c>
      <c r="M234" s="5" t="s">
        <v>58</v>
      </c>
      <c r="N234" s="5" t="s">
        <v>51</v>
      </c>
    </row>
    <row r="235" customFormat="false" ht="22.35" hidden="false" customHeight="false" outlineLevel="0" collapsed="false">
      <c r="A235" s="5" t="s">
        <v>2255</v>
      </c>
      <c r="B235" s="5" t="s">
        <v>2230</v>
      </c>
      <c r="C235" s="5" t="s">
        <v>2256</v>
      </c>
      <c r="D235" s="5" t="s">
        <v>2257</v>
      </c>
      <c r="E235" s="5" t="n">
        <v>2</v>
      </c>
      <c r="F235" s="5" t="s">
        <v>164</v>
      </c>
      <c r="G235" s="5" t="s">
        <v>238</v>
      </c>
      <c r="H235" s="5" t="s">
        <v>2261</v>
      </c>
      <c r="I235" s="5" t="s">
        <v>51</v>
      </c>
      <c r="J235" s="5" t="s">
        <v>79</v>
      </c>
      <c r="K235" s="5" t="s">
        <v>2259</v>
      </c>
      <c r="L235" s="5" t="s">
        <v>1365</v>
      </c>
      <c r="M235" s="5" t="s">
        <v>58</v>
      </c>
      <c r="N235" s="5" t="s">
        <v>51</v>
      </c>
    </row>
    <row r="236" customFormat="false" ht="22.35" hidden="false" customHeight="false" outlineLevel="0" collapsed="false">
      <c r="A236" s="5" t="s">
        <v>2264</v>
      </c>
      <c r="B236" s="5" t="s">
        <v>2230</v>
      </c>
      <c r="C236" s="5" t="s">
        <v>2265</v>
      </c>
      <c r="D236" s="5" t="s">
        <v>2266</v>
      </c>
      <c r="E236" s="5" t="n">
        <v>2</v>
      </c>
      <c r="F236" s="5" t="s">
        <v>164</v>
      </c>
      <c r="G236" s="5" t="s">
        <v>238</v>
      </c>
      <c r="H236" s="5" t="s">
        <v>1935</v>
      </c>
      <c r="I236" s="5" t="s">
        <v>51</v>
      </c>
      <c r="J236" s="5" t="s">
        <v>79</v>
      </c>
      <c r="K236" s="5" t="s">
        <v>1664</v>
      </c>
      <c r="L236" s="5" t="s">
        <v>1505</v>
      </c>
      <c r="M236" s="5" t="s">
        <v>58</v>
      </c>
      <c r="N236" s="5" t="s">
        <v>51</v>
      </c>
    </row>
    <row r="237" customFormat="false" ht="22.35" hidden="false" customHeight="false" outlineLevel="0" collapsed="false">
      <c r="A237" s="5" t="s">
        <v>2270</v>
      </c>
      <c r="B237" s="5" t="s">
        <v>2230</v>
      </c>
      <c r="C237" s="5" t="s">
        <v>2271</v>
      </c>
      <c r="D237" s="5" t="s">
        <v>2272</v>
      </c>
      <c r="E237" s="5" t="n">
        <v>1</v>
      </c>
      <c r="F237" s="5" t="s">
        <v>53</v>
      </c>
      <c r="G237" s="5" t="s">
        <v>67</v>
      </c>
      <c r="H237" s="5" t="s">
        <v>2276</v>
      </c>
      <c r="I237" s="5" t="s">
        <v>51</v>
      </c>
      <c r="J237" s="5" t="s">
        <v>79</v>
      </c>
      <c r="K237" s="5" t="s">
        <v>578</v>
      </c>
      <c r="L237" s="5" t="s">
        <v>3257</v>
      </c>
      <c r="M237" s="5" t="s">
        <v>58</v>
      </c>
      <c r="N237" s="5" t="s">
        <v>84</v>
      </c>
    </row>
    <row r="238" customFormat="false" ht="22.35" hidden="false" customHeight="false" outlineLevel="0" collapsed="false">
      <c r="A238" s="5" t="s">
        <v>2279</v>
      </c>
      <c r="B238" s="5" t="s">
        <v>2230</v>
      </c>
      <c r="C238" s="5" t="s">
        <v>2280</v>
      </c>
      <c r="D238" s="5" t="s">
        <v>2281</v>
      </c>
      <c r="E238" s="5" t="n">
        <v>1</v>
      </c>
      <c r="F238" s="5" t="s">
        <v>53</v>
      </c>
      <c r="G238" s="5" t="s">
        <v>67</v>
      </c>
      <c r="H238" s="5" t="s">
        <v>2283</v>
      </c>
      <c r="I238" s="5" t="s">
        <v>51</v>
      </c>
      <c r="J238" s="5" t="s">
        <v>408</v>
      </c>
      <c r="K238" s="5" t="s">
        <v>1664</v>
      </c>
      <c r="L238" s="5" t="s">
        <v>1392</v>
      </c>
      <c r="M238" s="5" t="s">
        <v>58</v>
      </c>
      <c r="N238" s="5" t="s">
        <v>51</v>
      </c>
    </row>
    <row r="239" customFormat="false" ht="22.35" hidden="false" customHeight="false" outlineLevel="0" collapsed="false">
      <c r="A239" s="5" t="s">
        <v>2286</v>
      </c>
      <c r="B239" s="5" t="s">
        <v>2230</v>
      </c>
      <c r="C239" s="5" t="s">
        <v>2287</v>
      </c>
      <c r="D239" s="5" t="s">
        <v>2288</v>
      </c>
      <c r="E239" s="5" t="n">
        <v>1</v>
      </c>
      <c r="F239" s="5" t="s">
        <v>53</v>
      </c>
      <c r="G239" s="5" t="s">
        <v>389</v>
      </c>
      <c r="H239" s="5" t="s">
        <v>2292</v>
      </c>
      <c r="I239" s="5" t="s">
        <v>51</v>
      </c>
      <c r="J239" s="5" t="s">
        <v>79</v>
      </c>
      <c r="K239" s="5" t="s">
        <v>1329</v>
      </c>
      <c r="L239" s="5" t="s">
        <v>2290</v>
      </c>
      <c r="M239" s="5" t="s">
        <v>58</v>
      </c>
      <c r="N239" s="5" t="s">
        <v>51</v>
      </c>
    </row>
    <row r="240" customFormat="false" ht="32.8" hidden="false" customHeight="false" outlineLevel="0" collapsed="false">
      <c r="A240" s="5" t="s">
        <v>2296</v>
      </c>
      <c r="B240" s="5" t="s">
        <v>2230</v>
      </c>
      <c r="C240" s="5" t="s">
        <v>2297</v>
      </c>
      <c r="D240" s="5" t="s">
        <v>2298</v>
      </c>
      <c r="E240" s="5" t="n">
        <v>2</v>
      </c>
      <c r="F240" s="5" t="s">
        <v>164</v>
      </c>
      <c r="G240" s="5" t="s">
        <v>238</v>
      </c>
      <c r="H240" s="5" t="s">
        <v>2301</v>
      </c>
      <c r="I240" s="5" t="s">
        <v>51</v>
      </c>
      <c r="J240" s="5" t="s">
        <v>52</v>
      </c>
      <c r="K240" s="5" t="s">
        <v>2259</v>
      </c>
      <c r="L240" s="5" t="s">
        <v>3258</v>
      </c>
      <c r="M240" s="5" t="s">
        <v>58</v>
      </c>
      <c r="N240" s="5" t="s">
        <v>51</v>
      </c>
    </row>
    <row r="241" customFormat="false" ht="22.35" hidden="false" customHeight="false" outlineLevel="0" collapsed="false">
      <c r="A241" s="5" t="s">
        <v>2305</v>
      </c>
      <c r="B241" s="5" t="s">
        <v>2307</v>
      </c>
      <c r="C241" s="5" t="s">
        <v>2308</v>
      </c>
      <c r="D241" s="5" t="s">
        <v>2309</v>
      </c>
      <c r="E241" s="5" t="n">
        <v>2</v>
      </c>
      <c r="F241" s="5" t="s">
        <v>53</v>
      </c>
      <c r="G241" s="5" t="s">
        <v>238</v>
      </c>
      <c r="H241" s="5" t="s">
        <v>1851</v>
      </c>
      <c r="I241" s="5" t="s">
        <v>51</v>
      </c>
      <c r="J241" s="5" t="s">
        <v>79</v>
      </c>
      <c r="K241" s="5" t="s">
        <v>1664</v>
      </c>
      <c r="L241" s="5" t="s">
        <v>1205</v>
      </c>
      <c r="M241" s="5" t="s">
        <v>58</v>
      </c>
      <c r="N241" s="5" t="s">
        <v>51</v>
      </c>
    </row>
    <row r="242" customFormat="false" ht="22.35" hidden="false" customHeight="false" outlineLevel="0" collapsed="false">
      <c r="A242" s="5" t="s">
        <v>2314</v>
      </c>
      <c r="B242" s="5" t="s">
        <v>2307</v>
      </c>
      <c r="C242" s="5" t="s">
        <v>2315</v>
      </c>
      <c r="D242" s="5" t="s">
        <v>2316</v>
      </c>
      <c r="E242" s="5" t="n">
        <v>2</v>
      </c>
      <c r="F242" s="5" t="s">
        <v>53</v>
      </c>
      <c r="G242" s="5" t="s">
        <v>238</v>
      </c>
      <c r="H242" s="5" t="s">
        <v>2319</v>
      </c>
      <c r="I242" s="5" t="s">
        <v>51</v>
      </c>
      <c r="J242" s="5" t="s">
        <v>79</v>
      </c>
      <c r="K242" s="5" t="s">
        <v>1664</v>
      </c>
      <c r="L242" s="5" t="s">
        <v>2305</v>
      </c>
      <c r="M242" s="5" t="s">
        <v>58</v>
      </c>
      <c r="N242" s="5" t="s">
        <v>51</v>
      </c>
    </row>
    <row r="243" customFormat="false" ht="22.35" hidden="false" customHeight="false" outlineLevel="0" collapsed="false">
      <c r="A243" s="5" t="s">
        <v>2323</v>
      </c>
      <c r="B243" s="5" t="s">
        <v>2307</v>
      </c>
      <c r="C243" s="5" t="s">
        <v>2324</v>
      </c>
      <c r="D243" s="5" t="s">
        <v>2325</v>
      </c>
      <c r="E243" s="5" t="n">
        <v>1</v>
      </c>
      <c r="F243" s="5" t="s">
        <v>53</v>
      </c>
      <c r="G243" s="5" t="s">
        <v>389</v>
      </c>
      <c r="H243" s="5" t="s">
        <v>2283</v>
      </c>
      <c r="I243" s="5" t="s">
        <v>51</v>
      </c>
      <c r="J243" s="5" t="s">
        <v>79</v>
      </c>
      <c r="K243" s="5" t="s">
        <v>1664</v>
      </c>
      <c r="L243" s="5" t="s">
        <v>2314</v>
      </c>
      <c r="M243" s="5" t="s">
        <v>58</v>
      </c>
      <c r="N243" s="5" t="s">
        <v>51</v>
      </c>
    </row>
    <row r="244" customFormat="false" ht="22.35" hidden="false" customHeight="false" outlineLevel="0" collapsed="false">
      <c r="A244" s="5" t="s">
        <v>2330</v>
      </c>
      <c r="B244" s="5" t="s">
        <v>2332</v>
      </c>
      <c r="C244" s="5" t="s">
        <v>2333</v>
      </c>
      <c r="D244" s="5" t="s">
        <v>2334</v>
      </c>
      <c r="E244" s="5" t="n">
        <v>1</v>
      </c>
      <c r="F244" s="5" t="s">
        <v>53</v>
      </c>
      <c r="G244" s="5" t="s">
        <v>1103</v>
      </c>
      <c r="H244" s="5" t="s">
        <v>315</v>
      </c>
      <c r="I244" s="5" t="s">
        <v>84</v>
      </c>
      <c r="J244" s="5" t="s">
        <v>79</v>
      </c>
      <c r="K244" s="5" t="s">
        <v>196</v>
      </c>
      <c r="L244" s="5" t="s">
        <v>289</v>
      </c>
      <c r="M244" s="5" t="s">
        <v>58</v>
      </c>
      <c r="N244" s="5" t="s">
        <v>51</v>
      </c>
    </row>
    <row r="245" customFormat="false" ht="22.35" hidden="false" customHeight="false" outlineLevel="0" collapsed="false">
      <c r="A245" s="5" t="s">
        <v>2340</v>
      </c>
      <c r="B245" s="5" t="s">
        <v>2332</v>
      </c>
      <c r="C245" s="5" t="s">
        <v>2341</v>
      </c>
      <c r="D245" s="5" t="s">
        <v>2342</v>
      </c>
      <c r="E245" s="5" t="n">
        <v>2</v>
      </c>
      <c r="F245" s="5" t="s">
        <v>164</v>
      </c>
      <c r="G245" s="5" t="s">
        <v>361</v>
      </c>
      <c r="H245" s="5" t="s">
        <v>1851</v>
      </c>
      <c r="I245" s="5" t="s">
        <v>51</v>
      </c>
      <c r="J245" s="5" t="s">
        <v>79</v>
      </c>
      <c r="K245" s="5" t="s">
        <v>1664</v>
      </c>
      <c r="L245" s="5" t="s">
        <v>2330</v>
      </c>
      <c r="M245" s="5" t="s">
        <v>58</v>
      </c>
      <c r="N245" s="5" t="s">
        <v>51</v>
      </c>
    </row>
    <row r="246" customFormat="false" ht="22.35" hidden="false" customHeight="false" outlineLevel="0" collapsed="false">
      <c r="A246" s="5" t="s">
        <v>2347</v>
      </c>
      <c r="B246" s="5" t="s">
        <v>2332</v>
      </c>
      <c r="C246" s="5" t="s">
        <v>2348</v>
      </c>
      <c r="D246" s="5" t="s">
        <v>2349</v>
      </c>
      <c r="E246" s="5" t="n">
        <v>3</v>
      </c>
      <c r="F246" s="5" t="s">
        <v>164</v>
      </c>
      <c r="G246" s="5" t="s">
        <v>831</v>
      </c>
      <c r="H246" s="5" t="s">
        <v>1217</v>
      </c>
      <c r="I246" s="5" t="s">
        <v>51</v>
      </c>
      <c r="J246" s="5" t="s">
        <v>79</v>
      </c>
      <c r="K246" s="5" t="s">
        <v>1115</v>
      </c>
      <c r="L246" s="5" t="s">
        <v>2340</v>
      </c>
      <c r="M246" s="5" t="s">
        <v>58</v>
      </c>
      <c r="N246" s="5" t="s">
        <v>51</v>
      </c>
    </row>
    <row r="247" customFormat="false" ht="22.35" hidden="false" customHeight="false" outlineLevel="0" collapsed="false">
      <c r="A247" s="5" t="s">
        <v>2355</v>
      </c>
      <c r="B247" s="5" t="s">
        <v>1664</v>
      </c>
      <c r="C247" s="5" t="s">
        <v>2357</v>
      </c>
      <c r="D247" s="5" t="s">
        <v>2358</v>
      </c>
      <c r="E247" s="5" t="n">
        <v>1</v>
      </c>
      <c r="F247" s="5" t="s">
        <v>53</v>
      </c>
      <c r="G247" s="5" t="s">
        <v>67</v>
      </c>
      <c r="H247" s="5" t="s">
        <v>2361</v>
      </c>
      <c r="I247" s="5" t="s">
        <v>51</v>
      </c>
      <c r="J247" s="5" t="s">
        <v>79</v>
      </c>
      <c r="K247" s="5" t="s">
        <v>1664</v>
      </c>
      <c r="L247" s="5" t="s">
        <v>297</v>
      </c>
      <c r="M247" s="5" t="s">
        <v>58</v>
      </c>
      <c r="N247" s="5" t="s">
        <v>51</v>
      </c>
    </row>
    <row r="248" customFormat="false" ht="32.8" hidden="false" customHeight="false" outlineLevel="0" collapsed="false">
      <c r="A248" s="5" t="s">
        <v>2365</v>
      </c>
      <c r="B248" s="5" t="s">
        <v>1664</v>
      </c>
      <c r="C248" s="5" t="s">
        <v>2366</v>
      </c>
      <c r="D248" s="5" t="s">
        <v>2367</v>
      </c>
      <c r="E248" s="5" t="n">
        <v>5</v>
      </c>
      <c r="F248" s="5" t="s">
        <v>164</v>
      </c>
      <c r="G248" s="5" t="s">
        <v>950</v>
      </c>
      <c r="H248" s="5" t="s">
        <v>2371</v>
      </c>
      <c r="I248" s="5" t="s">
        <v>51</v>
      </c>
      <c r="J248" s="5" t="s">
        <v>79</v>
      </c>
      <c r="K248" s="5" t="s">
        <v>2369</v>
      </c>
      <c r="L248" s="5" t="s">
        <v>2355</v>
      </c>
      <c r="M248" s="5" t="s">
        <v>58</v>
      </c>
      <c r="N248" s="5" t="s">
        <v>51</v>
      </c>
    </row>
    <row r="249" customFormat="false" ht="22.35" hidden="false" customHeight="false" outlineLevel="0" collapsed="false">
      <c r="A249" s="5" t="s">
        <v>2375</v>
      </c>
      <c r="B249" s="5" t="s">
        <v>1664</v>
      </c>
      <c r="C249" s="5" t="s">
        <v>2376</v>
      </c>
      <c r="D249" s="5" t="s">
        <v>2377</v>
      </c>
      <c r="E249" s="5" t="n">
        <v>2</v>
      </c>
      <c r="F249" s="5" t="s">
        <v>53</v>
      </c>
      <c r="G249" s="5" t="s">
        <v>238</v>
      </c>
      <c r="H249" s="5" t="s">
        <v>2139</v>
      </c>
      <c r="I249" s="5" t="s">
        <v>51</v>
      </c>
      <c r="J249" s="5" t="s">
        <v>79</v>
      </c>
      <c r="K249" s="5" t="s">
        <v>2379</v>
      </c>
      <c r="L249" s="5" t="s">
        <v>886</v>
      </c>
      <c r="M249" s="5" t="s">
        <v>58</v>
      </c>
      <c r="N249" s="5" t="s">
        <v>84</v>
      </c>
    </row>
    <row r="250" customFormat="false" ht="22.35" hidden="false" customHeight="false" outlineLevel="0" collapsed="false">
      <c r="A250" s="5" t="s">
        <v>2383</v>
      </c>
      <c r="B250" s="5" t="s">
        <v>1664</v>
      </c>
      <c r="C250" s="5" t="s">
        <v>2384</v>
      </c>
      <c r="D250" s="5" t="s">
        <v>2385</v>
      </c>
      <c r="E250" s="5" t="n">
        <v>1</v>
      </c>
      <c r="F250" s="5" t="s">
        <v>53</v>
      </c>
      <c r="G250" s="5" t="s">
        <v>176</v>
      </c>
      <c r="H250" s="5" t="s">
        <v>2139</v>
      </c>
      <c r="I250" s="5" t="s">
        <v>51</v>
      </c>
      <c r="J250" s="5" t="s">
        <v>79</v>
      </c>
      <c r="K250" s="5" t="s">
        <v>1664</v>
      </c>
      <c r="L250" s="5" t="s">
        <v>2387</v>
      </c>
      <c r="M250" s="5" t="s">
        <v>58</v>
      </c>
      <c r="N250" s="5" t="s">
        <v>84</v>
      </c>
    </row>
    <row r="251" customFormat="false" ht="22.35" hidden="false" customHeight="false" outlineLevel="0" collapsed="false">
      <c r="A251" s="5" t="s">
        <v>2392</v>
      </c>
      <c r="B251" s="5" t="s">
        <v>1664</v>
      </c>
      <c r="C251" s="5" t="s">
        <v>2393</v>
      </c>
      <c r="D251" s="5" t="s">
        <v>2394</v>
      </c>
      <c r="E251" s="5" t="n">
        <v>1</v>
      </c>
      <c r="F251" s="5" t="s">
        <v>53</v>
      </c>
      <c r="G251" s="5" t="s">
        <v>67</v>
      </c>
      <c r="H251" s="5" t="s">
        <v>2398</v>
      </c>
      <c r="I251" s="5" t="s">
        <v>51</v>
      </c>
      <c r="J251" s="5" t="s">
        <v>52</v>
      </c>
      <c r="K251" s="5" t="s">
        <v>196</v>
      </c>
      <c r="L251" s="5" t="s">
        <v>2365</v>
      </c>
      <c r="M251" s="5" t="s">
        <v>58</v>
      </c>
      <c r="N251" s="5" t="s">
        <v>51</v>
      </c>
    </row>
    <row r="252" customFormat="false" ht="22.35" hidden="false" customHeight="false" outlineLevel="0" collapsed="false">
      <c r="A252" s="5" t="s">
        <v>2402</v>
      </c>
      <c r="B252" s="5" t="s">
        <v>2404</v>
      </c>
      <c r="C252" s="5" t="s">
        <v>2405</v>
      </c>
      <c r="D252" s="5" t="s">
        <v>2406</v>
      </c>
      <c r="E252" s="5" t="n">
        <v>1</v>
      </c>
      <c r="F252" s="5" t="s">
        <v>53</v>
      </c>
      <c r="G252" s="5" t="s">
        <v>2412</v>
      </c>
      <c r="H252" s="5" t="s">
        <v>2411</v>
      </c>
      <c r="I252" s="5" t="s">
        <v>51</v>
      </c>
      <c r="J252" s="5" t="s">
        <v>79</v>
      </c>
      <c r="K252" s="5" t="s">
        <v>2409</v>
      </c>
      <c r="L252" s="5" t="s">
        <v>3259</v>
      </c>
      <c r="M252" s="5" t="s">
        <v>58</v>
      </c>
      <c r="N252" s="5" t="s">
        <v>84</v>
      </c>
    </row>
    <row r="253" customFormat="false" ht="22.35" hidden="false" customHeight="false" outlineLevel="0" collapsed="false">
      <c r="A253" s="5" t="s">
        <v>2387</v>
      </c>
      <c r="B253" s="5" t="s">
        <v>2404</v>
      </c>
      <c r="C253" s="5" t="s">
        <v>2416</v>
      </c>
      <c r="D253" s="5" t="s">
        <v>2417</v>
      </c>
      <c r="E253" s="5" t="n">
        <v>1</v>
      </c>
      <c r="F253" s="5" t="s">
        <v>1548</v>
      </c>
      <c r="G253" s="5" t="s">
        <v>1548</v>
      </c>
      <c r="H253" s="5" t="s">
        <v>2419</v>
      </c>
      <c r="I253" s="5" t="s">
        <v>51</v>
      </c>
      <c r="J253" s="5" t="s">
        <v>79</v>
      </c>
      <c r="K253" s="5" t="s">
        <v>568</v>
      </c>
      <c r="L253" s="5" t="s">
        <v>2402</v>
      </c>
      <c r="M253" s="5" t="s">
        <v>58</v>
      </c>
      <c r="N253" s="5" t="s">
        <v>84</v>
      </c>
    </row>
    <row r="254" customFormat="false" ht="22.35" hidden="false" customHeight="false" outlineLevel="0" collapsed="false">
      <c r="A254" s="5" t="s">
        <v>2422</v>
      </c>
      <c r="B254" s="5" t="s">
        <v>2404</v>
      </c>
      <c r="C254" s="5" t="s">
        <v>2423</v>
      </c>
      <c r="D254" s="5" t="s">
        <v>2424</v>
      </c>
      <c r="E254" s="5" t="n">
        <v>1</v>
      </c>
      <c r="F254" s="5" t="s">
        <v>53</v>
      </c>
      <c r="G254" s="5" t="s">
        <v>2428</v>
      </c>
      <c r="H254" s="5" t="s">
        <v>2427</v>
      </c>
      <c r="I254" s="5" t="s">
        <v>51</v>
      </c>
      <c r="J254" s="5" t="s">
        <v>79</v>
      </c>
      <c r="K254" s="5" t="s">
        <v>1664</v>
      </c>
      <c r="L254" s="5" t="s">
        <v>2387</v>
      </c>
      <c r="M254" s="5" t="s">
        <v>58</v>
      </c>
      <c r="N254" s="5" t="s">
        <v>84</v>
      </c>
    </row>
    <row r="255" customFormat="false" ht="22.35" hidden="false" customHeight="false" outlineLevel="0" collapsed="false">
      <c r="A255" s="5" t="s">
        <v>2432</v>
      </c>
      <c r="B255" s="5" t="s">
        <v>2434</v>
      </c>
      <c r="C255" s="5" t="s">
        <v>2435</v>
      </c>
      <c r="D255" s="5" t="s">
        <v>2436</v>
      </c>
      <c r="E255" s="5" t="n">
        <v>1</v>
      </c>
      <c r="F255" s="5" t="s">
        <v>53</v>
      </c>
      <c r="G255" s="5" t="s">
        <v>67</v>
      </c>
      <c r="H255" s="5" t="s">
        <v>398</v>
      </c>
      <c r="I255" s="5" t="s">
        <v>51</v>
      </c>
      <c r="J255" s="5" t="s">
        <v>52</v>
      </c>
      <c r="K255" s="5" t="s">
        <v>196</v>
      </c>
      <c r="L255" s="5" t="s">
        <v>2392</v>
      </c>
      <c r="M255" s="5" t="s">
        <v>58</v>
      </c>
      <c r="N255" s="5" t="s">
        <v>51</v>
      </c>
    </row>
    <row r="256" customFormat="false" ht="22.35" hidden="false" customHeight="false" outlineLevel="0" collapsed="false">
      <c r="A256" s="5" t="s">
        <v>2441</v>
      </c>
      <c r="B256" s="5" t="s">
        <v>2434</v>
      </c>
      <c r="C256" s="5" t="s">
        <v>2442</v>
      </c>
      <c r="D256" s="5" t="s">
        <v>2443</v>
      </c>
      <c r="E256" s="5" t="n">
        <v>1</v>
      </c>
      <c r="F256" s="5" t="s">
        <v>53</v>
      </c>
      <c r="G256" s="5" t="s">
        <v>389</v>
      </c>
      <c r="H256" s="5" t="s">
        <v>2444</v>
      </c>
      <c r="I256" s="5" t="s">
        <v>84</v>
      </c>
      <c r="J256" s="5" t="s">
        <v>79</v>
      </c>
      <c r="K256" s="5" t="s">
        <v>196</v>
      </c>
      <c r="L256" s="5" t="s">
        <v>2432</v>
      </c>
      <c r="M256" s="5" t="s">
        <v>58</v>
      </c>
      <c r="N256" s="5" t="s">
        <v>51</v>
      </c>
    </row>
    <row r="257" customFormat="false" ht="22.35" hidden="false" customHeight="false" outlineLevel="0" collapsed="false">
      <c r="A257" s="5" t="s">
        <v>2448</v>
      </c>
      <c r="B257" s="5" t="s">
        <v>2434</v>
      </c>
      <c r="C257" s="5" t="s">
        <v>2449</v>
      </c>
      <c r="D257" s="5" t="s">
        <v>2450</v>
      </c>
      <c r="E257" s="5" t="n">
        <v>1</v>
      </c>
      <c r="F257" s="5" t="s">
        <v>53</v>
      </c>
      <c r="G257" s="5" t="s">
        <v>67</v>
      </c>
      <c r="H257" s="5" t="s">
        <v>2453</v>
      </c>
      <c r="I257" s="5" t="s">
        <v>84</v>
      </c>
      <c r="J257" s="5" t="s">
        <v>79</v>
      </c>
      <c r="K257" s="5" t="s">
        <v>196</v>
      </c>
      <c r="L257" s="5" t="s">
        <v>2441</v>
      </c>
      <c r="M257" s="5" t="s">
        <v>58</v>
      </c>
      <c r="N257" s="5" t="s">
        <v>51</v>
      </c>
    </row>
    <row r="258" customFormat="false" ht="22.35" hidden="false" customHeight="false" outlineLevel="0" collapsed="false">
      <c r="A258" s="5" t="s">
        <v>2457</v>
      </c>
      <c r="B258" s="5" t="s">
        <v>2459</v>
      </c>
      <c r="C258" s="5" t="s">
        <v>2460</v>
      </c>
      <c r="D258" s="5" t="s">
        <v>2461</v>
      </c>
      <c r="E258" s="5" t="n">
        <v>6</v>
      </c>
      <c r="F258" s="5" t="s">
        <v>164</v>
      </c>
      <c r="G258" s="5" t="s">
        <v>2466</v>
      </c>
      <c r="H258" s="5" t="s">
        <v>2465</v>
      </c>
      <c r="I258" s="5" t="s">
        <v>84</v>
      </c>
      <c r="J258" s="5" t="s">
        <v>79</v>
      </c>
      <c r="K258" s="5" t="s">
        <v>2463</v>
      </c>
      <c r="L258" s="5" t="s">
        <v>2448</v>
      </c>
      <c r="M258" s="5" t="s">
        <v>58</v>
      </c>
      <c r="N258" s="5" t="s">
        <v>51</v>
      </c>
    </row>
    <row r="259" customFormat="false" ht="22.35" hidden="false" customHeight="false" outlineLevel="0" collapsed="false">
      <c r="A259" s="5" t="s">
        <v>2470</v>
      </c>
      <c r="B259" s="5" t="s">
        <v>2459</v>
      </c>
      <c r="C259" s="5" t="s">
        <v>2471</v>
      </c>
      <c r="D259" s="5" t="s">
        <v>2472</v>
      </c>
      <c r="E259" s="5" t="n">
        <v>3</v>
      </c>
      <c r="F259" s="5" t="s">
        <v>53</v>
      </c>
      <c r="G259" s="5" t="s">
        <v>831</v>
      </c>
      <c r="H259" s="5" t="s">
        <v>2474</v>
      </c>
      <c r="I259" s="5" t="s">
        <v>84</v>
      </c>
      <c r="J259" s="5" t="s">
        <v>52</v>
      </c>
      <c r="K259" s="5" t="s">
        <v>2463</v>
      </c>
      <c r="L259" s="5" t="s">
        <v>2457</v>
      </c>
      <c r="M259" s="5" t="s">
        <v>58</v>
      </c>
      <c r="N259" s="5" t="s">
        <v>51</v>
      </c>
    </row>
    <row r="260" customFormat="false" ht="22.35" hidden="false" customHeight="false" outlineLevel="0" collapsed="false">
      <c r="A260" s="5" t="s">
        <v>2476</v>
      </c>
      <c r="B260" s="5" t="s">
        <v>2459</v>
      </c>
      <c r="C260" s="5" t="s">
        <v>2477</v>
      </c>
      <c r="D260" s="5" t="s">
        <v>2478</v>
      </c>
      <c r="E260" s="5" t="n">
        <v>1</v>
      </c>
      <c r="F260" s="5" t="s">
        <v>53</v>
      </c>
      <c r="G260" s="5" t="s">
        <v>633</v>
      </c>
      <c r="H260" s="5" t="s">
        <v>2481</v>
      </c>
      <c r="I260" s="5" t="s">
        <v>51</v>
      </c>
      <c r="J260" s="5" t="s">
        <v>79</v>
      </c>
      <c r="K260" s="5" t="s">
        <v>196</v>
      </c>
      <c r="L260" s="5" t="s">
        <v>2457</v>
      </c>
      <c r="M260" s="5" t="s">
        <v>58</v>
      </c>
      <c r="N260" s="5" t="s">
        <v>51</v>
      </c>
    </row>
    <row r="261" customFormat="false" ht="22.35" hidden="false" customHeight="false" outlineLevel="0" collapsed="false">
      <c r="A261" s="5" t="s">
        <v>2485</v>
      </c>
      <c r="B261" s="5" t="s">
        <v>2487</v>
      </c>
      <c r="C261" s="5" t="s">
        <v>2488</v>
      </c>
      <c r="D261" s="5" t="s">
        <v>2489</v>
      </c>
      <c r="E261" s="5" t="n">
        <v>1</v>
      </c>
      <c r="F261" s="5" t="s">
        <v>53</v>
      </c>
      <c r="G261" s="5" t="s">
        <v>228</v>
      </c>
      <c r="H261" s="5" t="s">
        <v>2493</v>
      </c>
      <c r="I261" s="5" t="s">
        <v>51</v>
      </c>
      <c r="J261" s="5" t="s">
        <v>79</v>
      </c>
      <c r="K261" s="5" t="s">
        <v>196</v>
      </c>
      <c r="L261" s="5" t="s">
        <v>297</v>
      </c>
      <c r="M261" s="5" t="s">
        <v>58</v>
      </c>
      <c r="N261" s="5" t="s">
        <v>51</v>
      </c>
    </row>
    <row r="262" customFormat="false" ht="22.35" hidden="false" customHeight="false" outlineLevel="0" collapsed="false">
      <c r="A262" s="5" t="s">
        <v>2496</v>
      </c>
      <c r="B262" s="5" t="s">
        <v>2487</v>
      </c>
      <c r="C262" s="5" t="s">
        <v>2497</v>
      </c>
      <c r="D262" s="5" t="s">
        <v>2498</v>
      </c>
      <c r="E262" s="5" t="n">
        <v>1</v>
      </c>
      <c r="F262" s="5" t="s">
        <v>53</v>
      </c>
      <c r="G262" s="5" t="s">
        <v>67</v>
      </c>
      <c r="H262" s="5" t="s">
        <v>2493</v>
      </c>
      <c r="I262" s="5" t="s">
        <v>51</v>
      </c>
      <c r="J262" s="5" t="s">
        <v>79</v>
      </c>
      <c r="K262" s="5" t="s">
        <v>2500</v>
      </c>
      <c r="L262" s="5" t="s">
        <v>2485</v>
      </c>
      <c r="M262" s="5" t="s">
        <v>58</v>
      </c>
      <c r="N262" s="5" t="s">
        <v>51</v>
      </c>
    </row>
    <row r="263" customFormat="false" ht="22.35" hidden="false" customHeight="false" outlineLevel="0" collapsed="false">
      <c r="A263" s="5" t="s">
        <v>2504</v>
      </c>
      <c r="B263" s="5" t="s">
        <v>2487</v>
      </c>
      <c r="C263" s="5" t="s">
        <v>2505</v>
      </c>
      <c r="D263" s="5" t="s">
        <v>2506</v>
      </c>
      <c r="E263" s="5" t="n">
        <v>1</v>
      </c>
      <c r="F263" s="5" t="s">
        <v>53</v>
      </c>
      <c r="G263" s="5" t="s">
        <v>105</v>
      </c>
      <c r="H263" s="5" t="s">
        <v>2509</v>
      </c>
      <c r="I263" s="5" t="s">
        <v>84</v>
      </c>
      <c r="J263" s="5" t="s">
        <v>79</v>
      </c>
      <c r="K263" s="5" t="s">
        <v>196</v>
      </c>
      <c r="L263" s="5" t="s">
        <v>2496</v>
      </c>
      <c r="M263" s="5" t="s">
        <v>774</v>
      </c>
      <c r="N263" s="5" t="s">
        <v>51</v>
      </c>
    </row>
    <row r="264" customFormat="false" ht="22.35" hidden="false" customHeight="false" outlineLevel="0" collapsed="false">
      <c r="A264" s="5" t="s">
        <v>2513</v>
      </c>
      <c r="B264" s="5" t="s">
        <v>2515</v>
      </c>
      <c r="C264" s="5" t="s">
        <v>2516</v>
      </c>
      <c r="D264" s="5" t="s">
        <v>2517</v>
      </c>
      <c r="E264" s="5" t="n">
        <v>2</v>
      </c>
      <c r="F264" s="5" t="s">
        <v>164</v>
      </c>
      <c r="G264" s="5" t="s">
        <v>361</v>
      </c>
      <c r="H264" s="5" t="s">
        <v>2520</v>
      </c>
      <c r="I264" s="5" t="s">
        <v>51</v>
      </c>
      <c r="J264" s="5" t="s">
        <v>52</v>
      </c>
      <c r="K264" s="5" t="s">
        <v>578</v>
      </c>
      <c r="L264" s="5" t="s">
        <v>564</v>
      </c>
      <c r="M264" s="5" t="s">
        <v>58</v>
      </c>
      <c r="N264" s="5" t="s">
        <v>84</v>
      </c>
    </row>
    <row r="265" customFormat="false" ht="22.35" hidden="false" customHeight="false" outlineLevel="0" collapsed="false">
      <c r="A265" s="5" t="s">
        <v>2524</v>
      </c>
      <c r="B265" s="5" t="s">
        <v>2515</v>
      </c>
      <c r="C265" s="5" t="s">
        <v>2525</v>
      </c>
      <c r="D265" s="5" t="s">
        <v>2526</v>
      </c>
      <c r="E265" s="5" t="n">
        <v>1</v>
      </c>
      <c r="F265" s="5" t="s">
        <v>53</v>
      </c>
      <c r="G265" s="5" t="s">
        <v>67</v>
      </c>
      <c r="H265" s="5" t="s">
        <v>2529</v>
      </c>
      <c r="I265" s="5" t="s">
        <v>51</v>
      </c>
      <c r="J265" s="5" t="s">
        <v>79</v>
      </c>
      <c r="K265" s="5" t="s">
        <v>578</v>
      </c>
      <c r="L265" s="5" t="s">
        <v>1334</v>
      </c>
      <c r="M265" s="5" t="s">
        <v>58</v>
      </c>
      <c r="N265" s="5" t="s">
        <v>51</v>
      </c>
    </row>
    <row r="266" customFormat="false" ht="22.35" hidden="false" customHeight="false" outlineLevel="0" collapsed="false">
      <c r="A266" s="5" t="s">
        <v>2533</v>
      </c>
      <c r="B266" s="5" t="s">
        <v>2515</v>
      </c>
      <c r="C266" s="5" t="s">
        <v>2534</v>
      </c>
      <c r="D266" s="5" t="s">
        <v>2535</v>
      </c>
      <c r="E266" s="5" t="n">
        <v>1</v>
      </c>
      <c r="F266" s="5" t="s">
        <v>53</v>
      </c>
      <c r="G266" s="5" t="s">
        <v>67</v>
      </c>
      <c r="H266" s="5" t="s">
        <v>2539</v>
      </c>
      <c r="I266" s="5" t="s">
        <v>51</v>
      </c>
      <c r="J266" s="5" t="s">
        <v>79</v>
      </c>
      <c r="K266" s="5" t="s">
        <v>578</v>
      </c>
      <c r="L266" s="5" t="s">
        <v>2537</v>
      </c>
      <c r="M266" s="5" t="s">
        <v>58</v>
      </c>
      <c r="N266" s="5" t="s">
        <v>84</v>
      </c>
    </row>
    <row r="267" customFormat="false" ht="22.35" hidden="false" customHeight="false" outlineLevel="0" collapsed="false">
      <c r="A267" s="5" t="s">
        <v>2543</v>
      </c>
      <c r="B267" s="5" t="s">
        <v>2515</v>
      </c>
      <c r="C267" s="5" t="s">
        <v>2544</v>
      </c>
      <c r="D267" s="5" t="s">
        <v>2545</v>
      </c>
      <c r="E267" s="5" t="n">
        <v>1</v>
      </c>
      <c r="F267" s="5" t="s">
        <v>53</v>
      </c>
      <c r="G267" s="5" t="s">
        <v>67</v>
      </c>
      <c r="H267" s="5" t="s">
        <v>2548</v>
      </c>
      <c r="I267" s="5" t="s">
        <v>51</v>
      </c>
      <c r="J267" s="5" t="s">
        <v>52</v>
      </c>
      <c r="K267" s="5" t="s">
        <v>578</v>
      </c>
      <c r="L267" s="5" t="s">
        <v>2513</v>
      </c>
      <c r="M267" s="5" t="s">
        <v>58</v>
      </c>
      <c r="N267" s="5" t="s">
        <v>84</v>
      </c>
    </row>
    <row r="268" customFormat="false" ht="22.35" hidden="false" customHeight="false" outlineLevel="0" collapsed="false">
      <c r="A268" s="5" t="s">
        <v>2043</v>
      </c>
      <c r="B268" s="5" t="s">
        <v>2553</v>
      </c>
      <c r="C268" s="5" t="s">
        <v>2554</v>
      </c>
      <c r="D268" s="5" t="s">
        <v>2555</v>
      </c>
      <c r="E268" s="5" t="n">
        <v>1</v>
      </c>
      <c r="F268" s="5" t="s">
        <v>53</v>
      </c>
      <c r="G268" s="5" t="s">
        <v>67</v>
      </c>
      <c r="H268" s="5" t="s">
        <v>2558</v>
      </c>
      <c r="I268" s="5" t="s">
        <v>84</v>
      </c>
      <c r="J268" s="5" t="s">
        <v>79</v>
      </c>
      <c r="K268" s="5" t="s">
        <v>196</v>
      </c>
      <c r="L268" s="5" t="s">
        <v>232</v>
      </c>
      <c r="M268" s="5" t="s">
        <v>58</v>
      </c>
      <c r="N268" s="5" t="s">
        <v>84</v>
      </c>
    </row>
    <row r="269" customFormat="false" ht="22.35" hidden="false" customHeight="false" outlineLevel="0" collapsed="false">
      <c r="A269" s="5" t="s">
        <v>2562</v>
      </c>
      <c r="B269" s="5" t="s">
        <v>2553</v>
      </c>
      <c r="C269" s="5" t="s">
        <v>2563</v>
      </c>
      <c r="D269" s="5" t="s">
        <v>2564</v>
      </c>
      <c r="E269" s="5" t="n">
        <v>1</v>
      </c>
      <c r="F269" s="5" t="s">
        <v>53</v>
      </c>
      <c r="G269" s="5" t="s">
        <v>389</v>
      </c>
      <c r="H269" s="5" t="s">
        <v>2276</v>
      </c>
      <c r="I269" s="5" t="s">
        <v>84</v>
      </c>
      <c r="J269" s="5" t="s">
        <v>79</v>
      </c>
      <c r="K269" s="5" t="s">
        <v>1905</v>
      </c>
      <c r="L269" s="5" t="s">
        <v>2043</v>
      </c>
      <c r="M269" s="5" t="s">
        <v>58</v>
      </c>
      <c r="N269" s="5" t="s">
        <v>84</v>
      </c>
    </row>
    <row r="270" customFormat="false" ht="22.35" hidden="false" customHeight="false" outlineLevel="0" collapsed="false">
      <c r="A270" s="5" t="s">
        <v>2570</v>
      </c>
      <c r="B270" s="5" t="s">
        <v>2553</v>
      </c>
      <c r="C270" s="5" t="s">
        <v>2571</v>
      </c>
      <c r="D270" s="5" t="s">
        <v>2572</v>
      </c>
      <c r="E270" s="5" t="n">
        <v>1</v>
      </c>
      <c r="F270" s="5" t="s">
        <v>53</v>
      </c>
      <c r="G270" s="5" t="s">
        <v>105</v>
      </c>
      <c r="H270" s="5" t="s">
        <v>1755</v>
      </c>
      <c r="I270" s="5" t="s">
        <v>51</v>
      </c>
      <c r="J270" s="5" t="s">
        <v>79</v>
      </c>
      <c r="K270" s="5" t="s">
        <v>196</v>
      </c>
      <c r="L270" s="5" t="s">
        <v>2043</v>
      </c>
      <c r="M270" s="5" t="s">
        <v>58</v>
      </c>
      <c r="N270" s="5" t="s">
        <v>84</v>
      </c>
    </row>
    <row r="271" customFormat="false" ht="32.8" hidden="false" customHeight="false" outlineLevel="0" collapsed="false">
      <c r="A271" s="5" t="s">
        <v>1710</v>
      </c>
      <c r="B271" s="5" t="s">
        <v>2579</v>
      </c>
      <c r="C271" s="5" t="s">
        <v>2580</v>
      </c>
      <c r="D271" s="5" t="s">
        <v>2581</v>
      </c>
      <c r="E271" s="5" t="n">
        <v>1</v>
      </c>
      <c r="F271" s="5" t="s">
        <v>53</v>
      </c>
      <c r="G271" s="5" t="s">
        <v>67</v>
      </c>
      <c r="H271" s="5" t="s">
        <v>2584</v>
      </c>
      <c r="I271" s="5" t="s">
        <v>51</v>
      </c>
      <c r="J271" s="5" t="s">
        <v>79</v>
      </c>
      <c r="K271" s="5" t="s">
        <v>578</v>
      </c>
      <c r="L271" s="5" t="s">
        <v>2043</v>
      </c>
      <c r="M271" s="5" t="s">
        <v>58</v>
      </c>
      <c r="N271" s="5" t="s">
        <v>51</v>
      </c>
    </row>
    <row r="272" customFormat="false" ht="22.35" hidden="false" customHeight="false" outlineLevel="0" collapsed="false">
      <c r="A272" s="5" t="s">
        <v>2587</v>
      </c>
      <c r="B272" s="5" t="s">
        <v>2579</v>
      </c>
      <c r="C272" s="5" t="s">
        <v>2588</v>
      </c>
      <c r="D272" s="5" t="s">
        <v>2589</v>
      </c>
      <c r="E272" s="5" t="n">
        <v>1</v>
      </c>
      <c r="F272" s="5" t="s">
        <v>53</v>
      </c>
      <c r="G272" s="5" t="s">
        <v>389</v>
      </c>
      <c r="H272" s="5" t="s">
        <v>2593</v>
      </c>
      <c r="I272" s="5" t="s">
        <v>84</v>
      </c>
      <c r="J272" s="5" t="s">
        <v>79</v>
      </c>
      <c r="K272" s="5" t="s">
        <v>578</v>
      </c>
      <c r="L272" s="5" t="s">
        <v>2591</v>
      </c>
      <c r="M272" s="5" t="s">
        <v>58</v>
      </c>
      <c r="N272" s="5" t="s">
        <v>51</v>
      </c>
    </row>
    <row r="273" customFormat="false" ht="22.35" hidden="false" customHeight="false" outlineLevel="0" collapsed="false">
      <c r="A273" s="5" t="s">
        <v>2596</v>
      </c>
      <c r="B273" s="5" t="s">
        <v>2579</v>
      </c>
      <c r="C273" s="5" t="s">
        <v>2597</v>
      </c>
      <c r="D273" s="5" t="s">
        <v>2598</v>
      </c>
      <c r="E273" s="5" t="n">
        <v>1</v>
      </c>
      <c r="F273" s="5" t="s">
        <v>53</v>
      </c>
      <c r="G273" s="5" t="s">
        <v>389</v>
      </c>
      <c r="H273" s="5" t="s">
        <v>2601</v>
      </c>
      <c r="I273" s="5" t="s">
        <v>51</v>
      </c>
      <c r="J273" s="5" t="s">
        <v>79</v>
      </c>
      <c r="K273" s="5" t="s">
        <v>578</v>
      </c>
      <c r="L273" s="5" t="s">
        <v>2587</v>
      </c>
      <c r="M273" s="5" t="s">
        <v>58</v>
      </c>
      <c r="N273" s="5" t="s">
        <v>84</v>
      </c>
    </row>
    <row r="274" customFormat="false" ht="22.35" hidden="false" customHeight="false" outlineLevel="0" collapsed="false">
      <c r="A274" s="5" t="s">
        <v>2202</v>
      </c>
      <c r="B274" s="5" t="s">
        <v>2606</v>
      </c>
      <c r="C274" s="5" t="s">
        <v>2607</v>
      </c>
      <c r="D274" s="5" t="s">
        <v>2608</v>
      </c>
      <c r="E274" s="5" t="n">
        <v>1</v>
      </c>
      <c r="F274" s="5" t="s">
        <v>53</v>
      </c>
      <c r="G274" s="5" t="s">
        <v>67</v>
      </c>
      <c r="H274" s="5" t="s">
        <v>2611</v>
      </c>
      <c r="I274" s="5" t="s">
        <v>84</v>
      </c>
      <c r="J274" s="5" t="s">
        <v>79</v>
      </c>
      <c r="K274" s="5" t="s">
        <v>578</v>
      </c>
      <c r="L274" s="5" t="s">
        <v>698</v>
      </c>
      <c r="M274" s="5" t="s">
        <v>58</v>
      </c>
      <c r="N274" s="5" t="s">
        <v>51</v>
      </c>
    </row>
    <row r="275" customFormat="false" ht="22.35" hidden="false" customHeight="false" outlineLevel="0" collapsed="false">
      <c r="A275" s="5" t="s">
        <v>2615</v>
      </c>
      <c r="B275" s="5" t="s">
        <v>2606</v>
      </c>
      <c r="C275" s="5" t="s">
        <v>2616</v>
      </c>
      <c r="D275" s="5" t="s">
        <v>2617</v>
      </c>
      <c r="E275" s="5" t="n">
        <v>1</v>
      </c>
      <c r="F275" s="5" t="s">
        <v>53</v>
      </c>
      <c r="G275" s="5" t="s">
        <v>389</v>
      </c>
      <c r="H275" s="5" t="s">
        <v>2620</v>
      </c>
      <c r="I275" s="5" t="s">
        <v>84</v>
      </c>
      <c r="J275" s="5" t="s">
        <v>79</v>
      </c>
      <c r="K275" s="5" t="s">
        <v>1905</v>
      </c>
      <c r="L275" s="5" t="s">
        <v>2202</v>
      </c>
      <c r="M275" s="5" t="s">
        <v>58</v>
      </c>
      <c r="N275" s="5" t="s">
        <v>84</v>
      </c>
    </row>
    <row r="276" customFormat="false" ht="22.35" hidden="false" customHeight="false" outlineLevel="0" collapsed="false">
      <c r="A276" s="5" t="s">
        <v>2624</v>
      </c>
      <c r="B276" s="5" t="s">
        <v>2606</v>
      </c>
      <c r="C276" s="5" t="s">
        <v>2625</v>
      </c>
      <c r="D276" s="5" t="s">
        <v>2626</v>
      </c>
      <c r="E276" s="5" t="n">
        <v>8</v>
      </c>
      <c r="F276" s="5" t="s">
        <v>781</v>
      </c>
      <c r="G276" s="5" t="s">
        <v>771</v>
      </c>
      <c r="H276" s="5" t="s">
        <v>2629</v>
      </c>
      <c r="I276" s="5" t="s">
        <v>51</v>
      </c>
      <c r="J276" s="5" t="s">
        <v>408</v>
      </c>
      <c r="K276" s="5" t="s">
        <v>578</v>
      </c>
      <c r="L276" s="5" t="s">
        <v>2202</v>
      </c>
      <c r="M276" s="5" t="s">
        <v>774</v>
      </c>
      <c r="N276" s="5" t="s">
        <v>84</v>
      </c>
    </row>
    <row r="277" customFormat="false" ht="22.35" hidden="false" customHeight="false" outlineLevel="0" collapsed="false">
      <c r="A277" s="5" t="s">
        <v>2631</v>
      </c>
      <c r="B277" s="5" t="s">
        <v>2633</v>
      </c>
      <c r="C277" s="5" t="s">
        <v>2634</v>
      </c>
      <c r="D277" s="5" t="s">
        <v>2635</v>
      </c>
      <c r="E277" s="5" t="n">
        <v>1</v>
      </c>
      <c r="F277" s="5" t="s">
        <v>53</v>
      </c>
      <c r="G277" s="5" t="s">
        <v>389</v>
      </c>
      <c r="H277" s="5" t="s">
        <v>2638</v>
      </c>
      <c r="I277" s="5" t="s">
        <v>51</v>
      </c>
      <c r="J277" s="5" t="s">
        <v>79</v>
      </c>
      <c r="K277" s="5" t="s">
        <v>578</v>
      </c>
      <c r="L277" s="5" t="s">
        <v>2587</v>
      </c>
      <c r="M277" s="5" t="s">
        <v>58</v>
      </c>
      <c r="N277" s="5" t="s">
        <v>84</v>
      </c>
    </row>
    <row r="278" customFormat="false" ht="22.35" hidden="false" customHeight="false" outlineLevel="0" collapsed="false">
      <c r="A278" s="5" t="s">
        <v>1981</v>
      </c>
      <c r="B278" s="5" t="s">
        <v>2633</v>
      </c>
      <c r="C278" s="5" t="s">
        <v>2642</v>
      </c>
      <c r="D278" s="5" t="s">
        <v>2643</v>
      </c>
      <c r="E278" s="5" t="n">
        <v>1</v>
      </c>
      <c r="F278" s="5" t="s">
        <v>53</v>
      </c>
      <c r="G278" s="5" t="s">
        <v>389</v>
      </c>
      <c r="H278" s="5" t="s">
        <v>2646</v>
      </c>
      <c r="I278" s="5" t="s">
        <v>51</v>
      </c>
      <c r="J278" s="5" t="s">
        <v>79</v>
      </c>
      <c r="K278" s="5" t="s">
        <v>578</v>
      </c>
      <c r="L278" s="5" t="s">
        <v>2631</v>
      </c>
      <c r="M278" s="5" t="s">
        <v>58</v>
      </c>
      <c r="N278" s="5" t="s">
        <v>51</v>
      </c>
    </row>
    <row r="279" customFormat="false" ht="22.35" hidden="false" customHeight="false" outlineLevel="0" collapsed="false">
      <c r="A279" s="5" t="s">
        <v>2650</v>
      </c>
      <c r="B279" s="5" t="s">
        <v>2633</v>
      </c>
      <c r="C279" s="5" t="s">
        <v>2651</v>
      </c>
      <c r="D279" s="5" t="s">
        <v>2652</v>
      </c>
      <c r="E279" s="5" t="n">
        <v>1</v>
      </c>
      <c r="F279" s="5" t="s">
        <v>53</v>
      </c>
      <c r="G279" s="5" t="s">
        <v>2655</v>
      </c>
      <c r="H279" s="5" t="s">
        <v>1558</v>
      </c>
      <c r="I279" s="5" t="s">
        <v>51</v>
      </c>
      <c r="J279" s="5" t="s">
        <v>79</v>
      </c>
      <c r="K279" s="5" t="s">
        <v>1664</v>
      </c>
      <c r="L279" s="5" t="s">
        <v>1981</v>
      </c>
      <c r="M279" s="5" t="s">
        <v>58</v>
      </c>
      <c r="N279" s="5" t="s">
        <v>51</v>
      </c>
    </row>
    <row r="280" customFormat="false" ht="22.35" hidden="false" customHeight="false" outlineLevel="0" collapsed="false">
      <c r="A280" s="5" t="s">
        <v>2290</v>
      </c>
      <c r="B280" s="5" t="s">
        <v>2660</v>
      </c>
      <c r="C280" s="5" t="s">
        <v>2661</v>
      </c>
      <c r="D280" s="5" t="s">
        <v>2662</v>
      </c>
      <c r="E280" s="5" t="n">
        <v>1</v>
      </c>
      <c r="F280" s="5" t="s">
        <v>53</v>
      </c>
      <c r="G280" s="5" t="s">
        <v>389</v>
      </c>
      <c r="H280" s="5" t="s">
        <v>2139</v>
      </c>
      <c r="I280" s="5" t="s">
        <v>51</v>
      </c>
      <c r="J280" s="5" t="s">
        <v>79</v>
      </c>
      <c r="K280" s="5" t="s">
        <v>578</v>
      </c>
      <c r="L280" s="5" t="s">
        <v>2524</v>
      </c>
      <c r="M280" s="5" t="s">
        <v>58</v>
      </c>
      <c r="N280" s="5" t="s">
        <v>51</v>
      </c>
    </row>
    <row r="281" customFormat="false" ht="22.35" hidden="false" customHeight="false" outlineLevel="0" collapsed="false">
      <c r="A281" s="5" t="s">
        <v>2667</v>
      </c>
      <c r="B281" s="5" t="s">
        <v>2660</v>
      </c>
      <c r="C281" s="5" t="s">
        <v>2668</v>
      </c>
      <c r="D281" s="5" t="s">
        <v>2669</v>
      </c>
      <c r="E281" s="5" t="n">
        <v>1</v>
      </c>
      <c r="F281" s="5" t="s">
        <v>53</v>
      </c>
      <c r="G281" s="5" t="s">
        <v>389</v>
      </c>
      <c r="H281" s="5" t="s">
        <v>2672</v>
      </c>
      <c r="I281" s="5" t="s">
        <v>51</v>
      </c>
      <c r="J281" s="5" t="s">
        <v>408</v>
      </c>
      <c r="K281" s="5" t="s">
        <v>578</v>
      </c>
      <c r="L281" s="5" t="s">
        <v>1392</v>
      </c>
      <c r="M281" s="5" t="s">
        <v>58</v>
      </c>
      <c r="N281" s="5" t="s">
        <v>84</v>
      </c>
    </row>
    <row r="282" customFormat="false" ht="22.35" hidden="false" customHeight="false" outlineLevel="0" collapsed="false">
      <c r="A282" s="5" t="s">
        <v>2676</v>
      </c>
      <c r="B282" s="5" t="s">
        <v>2660</v>
      </c>
      <c r="C282" s="5" t="s">
        <v>2677</v>
      </c>
      <c r="D282" s="5" t="s">
        <v>2678</v>
      </c>
      <c r="E282" s="5" t="n">
        <v>1</v>
      </c>
      <c r="F282" s="5" t="s">
        <v>53</v>
      </c>
      <c r="G282" s="5" t="s">
        <v>2682</v>
      </c>
      <c r="H282" s="5" t="s">
        <v>2681</v>
      </c>
      <c r="I282" s="5" t="s">
        <v>51</v>
      </c>
      <c r="J282" s="5" t="s">
        <v>52</v>
      </c>
      <c r="K282" s="5" t="s">
        <v>578</v>
      </c>
      <c r="L282" s="5" t="s">
        <v>2533</v>
      </c>
      <c r="M282" s="5" t="s">
        <v>58</v>
      </c>
      <c r="N282" s="5" t="s">
        <v>84</v>
      </c>
    </row>
    <row r="283" customFormat="false" ht="22.35" hidden="false" customHeight="false" outlineLevel="0" collapsed="false">
      <c r="A283" s="5" t="s">
        <v>2686</v>
      </c>
      <c r="B283" s="5" t="s">
        <v>2660</v>
      </c>
      <c r="C283" s="5" t="s">
        <v>2687</v>
      </c>
      <c r="D283" s="5" t="s">
        <v>2688</v>
      </c>
      <c r="E283" s="5" t="n">
        <v>1</v>
      </c>
      <c r="F283" s="5" t="s">
        <v>53</v>
      </c>
      <c r="G283" s="5" t="s">
        <v>67</v>
      </c>
      <c r="H283" s="5" t="s">
        <v>2690</v>
      </c>
      <c r="I283" s="5" t="s">
        <v>51</v>
      </c>
      <c r="J283" s="5" t="s">
        <v>66</v>
      </c>
      <c r="K283" s="5" t="s">
        <v>578</v>
      </c>
      <c r="L283" s="5" t="s">
        <v>2533</v>
      </c>
      <c r="M283" s="5" t="s">
        <v>58</v>
      </c>
      <c r="N283" s="5" t="s">
        <v>84</v>
      </c>
    </row>
    <row r="284" customFormat="false" ht="22.35" hidden="false" customHeight="false" outlineLevel="0" collapsed="false">
      <c r="A284" s="5" t="s">
        <v>2694</v>
      </c>
      <c r="B284" s="5" t="s">
        <v>1470</v>
      </c>
      <c r="C284" s="5" t="s">
        <v>2696</v>
      </c>
      <c r="D284" s="5" t="s">
        <v>2697</v>
      </c>
      <c r="E284" s="5" t="n">
        <v>2</v>
      </c>
      <c r="F284" s="5" t="s">
        <v>53</v>
      </c>
      <c r="G284" s="5" t="s">
        <v>238</v>
      </c>
      <c r="H284" s="5" t="s">
        <v>2361</v>
      </c>
      <c r="I284" s="5" t="s">
        <v>51</v>
      </c>
      <c r="J284" s="5" t="s">
        <v>79</v>
      </c>
      <c r="K284" s="5" t="s">
        <v>2700</v>
      </c>
      <c r="L284" s="5" t="s">
        <v>2383</v>
      </c>
      <c r="M284" s="5" t="s">
        <v>58</v>
      </c>
      <c r="N284" s="5" t="s">
        <v>51</v>
      </c>
    </row>
    <row r="285" customFormat="false" ht="22.35" hidden="false" customHeight="false" outlineLevel="0" collapsed="false">
      <c r="A285" s="5" t="s">
        <v>2704</v>
      </c>
      <c r="B285" s="5" t="s">
        <v>1470</v>
      </c>
      <c r="C285" s="5" t="s">
        <v>2705</v>
      </c>
      <c r="D285" s="5" t="s">
        <v>2706</v>
      </c>
      <c r="E285" s="5" t="n">
        <v>1</v>
      </c>
      <c r="F285" s="5" t="s">
        <v>53</v>
      </c>
      <c r="G285" s="5" t="s">
        <v>105</v>
      </c>
      <c r="H285" s="5" t="s">
        <v>1102</v>
      </c>
      <c r="I285" s="5" t="s">
        <v>84</v>
      </c>
      <c r="J285" s="5" t="s">
        <v>79</v>
      </c>
      <c r="K285" s="5" t="s">
        <v>196</v>
      </c>
      <c r="L285" s="5" t="s">
        <v>2694</v>
      </c>
      <c r="M285" s="5" t="s">
        <v>58</v>
      </c>
      <c r="N285" s="5" t="s">
        <v>51</v>
      </c>
    </row>
    <row r="286" customFormat="false" ht="22.35" hidden="false" customHeight="false" outlineLevel="0" collapsed="false">
      <c r="A286" s="5" t="s">
        <v>2222</v>
      </c>
      <c r="B286" s="5" t="s">
        <v>1470</v>
      </c>
      <c r="C286" s="5" t="s">
        <v>2711</v>
      </c>
      <c r="D286" s="5" t="s">
        <v>2712</v>
      </c>
      <c r="E286" s="5" t="n">
        <v>2</v>
      </c>
      <c r="F286" s="5" t="s">
        <v>53</v>
      </c>
      <c r="G286" s="5" t="s">
        <v>238</v>
      </c>
      <c r="H286" s="5" t="s">
        <v>2715</v>
      </c>
      <c r="I286" s="5" t="s">
        <v>51</v>
      </c>
      <c r="J286" s="5" t="s">
        <v>79</v>
      </c>
      <c r="K286" s="5" t="s">
        <v>578</v>
      </c>
      <c r="L286" s="5" t="s">
        <v>2713</v>
      </c>
      <c r="M286" s="5" t="s">
        <v>58</v>
      </c>
      <c r="N286" s="5" t="s">
        <v>51</v>
      </c>
    </row>
    <row r="287" customFormat="false" ht="22.35" hidden="false" customHeight="false" outlineLevel="0" collapsed="false">
      <c r="A287" s="5" t="s">
        <v>2719</v>
      </c>
      <c r="B287" s="5" t="s">
        <v>1470</v>
      </c>
      <c r="C287" s="5" t="s">
        <v>2720</v>
      </c>
      <c r="D287" s="5" t="s">
        <v>2721</v>
      </c>
      <c r="E287" s="5" t="n">
        <v>1</v>
      </c>
      <c r="F287" s="5" t="s">
        <v>53</v>
      </c>
      <c r="G287" s="5" t="s">
        <v>2655</v>
      </c>
      <c r="H287" s="5" t="s">
        <v>2654</v>
      </c>
      <c r="I287" s="5" t="s">
        <v>51</v>
      </c>
      <c r="J287" s="5" t="s">
        <v>79</v>
      </c>
      <c r="K287" s="5" t="s">
        <v>578</v>
      </c>
      <c r="L287" s="5" t="s">
        <v>2222</v>
      </c>
      <c r="M287" s="5" t="s">
        <v>58</v>
      </c>
      <c r="N287" s="5" t="s">
        <v>51</v>
      </c>
    </row>
    <row r="288" customFormat="false" ht="22.35" hidden="false" customHeight="false" outlineLevel="0" collapsed="false">
      <c r="A288" s="5" t="s">
        <v>2727</v>
      </c>
      <c r="B288" s="5" t="s">
        <v>1470</v>
      </c>
      <c r="C288" s="5" t="s">
        <v>2728</v>
      </c>
      <c r="D288" s="5" t="s">
        <v>2729</v>
      </c>
      <c r="E288" s="5" t="n">
        <v>1</v>
      </c>
      <c r="F288" s="5" t="s">
        <v>53</v>
      </c>
      <c r="G288" s="5" t="s">
        <v>67</v>
      </c>
      <c r="H288" s="5" t="s">
        <v>770</v>
      </c>
      <c r="I288" s="5" t="s">
        <v>663</v>
      </c>
      <c r="J288" s="5" t="s">
        <v>66</v>
      </c>
      <c r="K288" s="5" t="s">
        <v>693</v>
      </c>
      <c r="L288" s="5" t="s">
        <v>2222</v>
      </c>
      <c r="M288" s="5" t="s">
        <v>774</v>
      </c>
      <c r="N288" s="5" t="s">
        <v>51</v>
      </c>
    </row>
    <row r="289" customFormat="false" ht="22.35" hidden="false" customHeight="false" outlineLevel="0" collapsed="false">
      <c r="A289" s="5" t="s">
        <v>2734</v>
      </c>
      <c r="B289" s="5" t="s">
        <v>2736</v>
      </c>
      <c r="C289" s="5" t="s">
        <v>2737</v>
      </c>
      <c r="D289" s="5" t="s">
        <v>2738</v>
      </c>
      <c r="E289" s="5" t="n">
        <v>1</v>
      </c>
      <c r="F289" s="5" t="s">
        <v>53</v>
      </c>
      <c r="G289" s="5" t="s">
        <v>67</v>
      </c>
      <c r="H289" s="5" t="s">
        <v>2741</v>
      </c>
      <c r="I289" s="5" t="s">
        <v>51</v>
      </c>
      <c r="J289" s="5" t="s">
        <v>79</v>
      </c>
      <c r="K289" s="5" t="s">
        <v>1664</v>
      </c>
      <c r="L289" s="5" t="s">
        <v>2222</v>
      </c>
      <c r="M289" s="5" t="s">
        <v>58</v>
      </c>
      <c r="N289" s="5" t="s">
        <v>84</v>
      </c>
    </row>
    <row r="290" customFormat="false" ht="22.35" hidden="false" customHeight="false" outlineLevel="0" collapsed="false">
      <c r="A290" s="5" t="s">
        <v>2745</v>
      </c>
      <c r="B290" s="5" t="s">
        <v>2736</v>
      </c>
      <c r="C290" s="5" t="s">
        <v>2746</v>
      </c>
      <c r="D290" s="5" t="s">
        <v>2747</v>
      </c>
      <c r="E290" s="5" t="n">
        <v>1</v>
      </c>
      <c r="F290" s="5" t="s">
        <v>53</v>
      </c>
      <c r="G290" s="5" t="s">
        <v>67</v>
      </c>
      <c r="H290" s="5" t="s">
        <v>2749</v>
      </c>
      <c r="I290" s="5" t="s">
        <v>51</v>
      </c>
      <c r="J290" s="5" t="s">
        <v>79</v>
      </c>
      <c r="K290" s="5" t="s">
        <v>1664</v>
      </c>
      <c r="L290" s="5" t="s">
        <v>2734</v>
      </c>
      <c r="M290" s="5" t="s">
        <v>58</v>
      </c>
      <c r="N290" s="5" t="s">
        <v>84</v>
      </c>
    </row>
    <row r="291" customFormat="false" ht="22.35" hidden="false" customHeight="false" outlineLevel="0" collapsed="false">
      <c r="A291" s="5" t="s">
        <v>2753</v>
      </c>
      <c r="B291" s="5" t="s">
        <v>2736</v>
      </c>
      <c r="C291" s="5" t="s">
        <v>2754</v>
      </c>
      <c r="D291" s="5" t="s">
        <v>2755</v>
      </c>
      <c r="E291" s="5" t="n">
        <v>1</v>
      </c>
      <c r="F291" s="5" t="s">
        <v>53</v>
      </c>
      <c r="G291" s="5" t="s">
        <v>2682</v>
      </c>
      <c r="H291" s="5" t="s">
        <v>1647</v>
      </c>
      <c r="I291" s="5" t="s">
        <v>51</v>
      </c>
      <c r="J291" s="5" t="s">
        <v>79</v>
      </c>
      <c r="K291" s="5" t="s">
        <v>693</v>
      </c>
      <c r="L291" s="5" t="s">
        <v>2039</v>
      </c>
      <c r="M291" s="5" t="s">
        <v>58</v>
      </c>
      <c r="N291" s="5" t="s">
        <v>84</v>
      </c>
    </row>
    <row r="292" customFormat="false" ht="22.35" hidden="false" customHeight="false" outlineLevel="0" collapsed="false">
      <c r="A292" s="5" t="s">
        <v>2760</v>
      </c>
      <c r="B292" s="5" t="s">
        <v>2736</v>
      </c>
      <c r="C292" s="5" t="s">
        <v>2761</v>
      </c>
      <c r="D292" s="5" t="s">
        <v>2762</v>
      </c>
      <c r="E292" s="5" t="n">
        <v>2</v>
      </c>
      <c r="F292" s="5" t="s">
        <v>53</v>
      </c>
      <c r="G292" s="5" t="s">
        <v>238</v>
      </c>
      <c r="H292" s="5" t="s">
        <v>2765</v>
      </c>
      <c r="I292" s="5" t="s">
        <v>51</v>
      </c>
      <c r="J292" s="5" t="s">
        <v>52</v>
      </c>
      <c r="K292" s="5" t="s">
        <v>2764</v>
      </c>
      <c r="L292" s="5" t="s">
        <v>2222</v>
      </c>
      <c r="M292" s="5" t="s">
        <v>58</v>
      </c>
      <c r="N292" s="5" t="s">
        <v>84</v>
      </c>
    </row>
    <row r="293" customFormat="false" ht="22.35" hidden="false" customHeight="false" outlineLevel="0" collapsed="false">
      <c r="A293" s="5" t="s">
        <v>2768</v>
      </c>
      <c r="B293" s="5" t="s">
        <v>2770</v>
      </c>
      <c r="C293" s="5" t="s">
        <v>2771</v>
      </c>
      <c r="D293" s="5" t="s">
        <v>2772</v>
      </c>
      <c r="E293" s="5" t="n">
        <v>4</v>
      </c>
      <c r="F293" s="5" t="s">
        <v>164</v>
      </c>
      <c r="G293" s="5" t="s">
        <v>379</v>
      </c>
      <c r="H293" s="5" t="s">
        <v>2776</v>
      </c>
      <c r="I293" s="5" t="s">
        <v>51</v>
      </c>
      <c r="J293" s="5" t="s">
        <v>79</v>
      </c>
      <c r="K293" s="5" t="s">
        <v>196</v>
      </c>
      <c r="L293" s="5" t="s">
        <v>3260</v>
      </c>
      <c r="M293" s="5" t="s">
        <v>58</v>
      </c>
      <c r="N293" s="5" t="s">
        <v>51</v>
      </c>
    </row>
    <row r="294" customFormat="false" ht="22.35" hidden="false" customHeight="false" outlineLevel="0" collapsed="false">
      <c r="A294" s="5" t="s">
        <v>2780</v>
      </c>
      <c r="B294" s="5" t="s">
        <v>2770</v>
      </c>
      <c r="C294" s="5" t="s">
        <v>2781</v>
      </c>
      <c r="D294" s="5" t="s">
        <v>2782</v>
      </c>
      <c r="E294" s="5" t="n">
        <v>2</v>
      </c>
      <c r="F294" s="5" t="s">
        <v>53</v>
      </c>
      <c r="G294" s="5" t="s">
        <v>2784</v>
      </c>
      <c r="H294" s="5" t="s">
        <v>398</v>
      </c>
      <c r="I294" s="5" t="s">
        <v>51</v>
      </c>
      <c r="J294" s="5" t="s">
        <v>79</v>
      </c>
      <c r="K294" s="5" t="s">
        <v>196</v>
      </c>
      <c r="L294" s="5" t="s">
        <v>2768</v>
      </c>
      <c r="M294" s="5" t="s">
        <v>58</v>
      </c>
      <c r="N294" s="5" t="s">
        <v>51</v>
      </c>
    </row>
    <row r="295" customFormat="false" ht="22.35" hidden="false" customHeight="false" outlineLevel="0" collapsed="false">
      <c r="A295" s="5" t="s">
        <v>2787</v>
      </c>
      <c r="B295" s="5" t="s">
        <v>2770</v>
      </c>
      <c r="C295" s="5" t="s">
        <v>2788</v>
      </c>
      <c r="D295" s="5" t="s">
        <v>2789</v>
      </c>
      <c r="E295" s="5" t="n">
        <v>1</v>
      </c>
      <c r="F295" s="5" t="s">
        <v>53</v>
      </c>
      <c r="G295" s="5" t="s">
        <v>105</v>
      </c>
      <c r="H295" s="5" t="s">
        <v>2792</v>
      </c>
      <c r="I295" s="5" t="s">
        <v>84</v>
      </c>
      <c r="J295" s="5" t="s">
        <v>79</v>
      </c>
      <c r="K295" s="5" t="s">
        <v>196</v>
      </c>
      <c r="L295" s="5" t="s">
        <v>2780</v>
      </c>
      <c r="M295" s="5" t="s">
        <v>58</v>
      </c>
      <c r="N295" s="5" t="s">
        <v>51</v>
      </c>
    </row>
    <row r="296" customFormat="false" ht="22.35" hidden="false" customHeight="false" outlineLevel="0" collapsed="false">
      <c r="A296" s="5" t="s">
        <v>2795</v>
      </c>
      <c r="B296" s="5" t="s">
        <v>2797</v>
      </c>
      <c r="C296" s="5" t="s">
        <v>2798</v>
      </c>
      <c r="D296" s="5" t="s">
        <v>2799</v>
      </c>
      <c r="E296" s="5" t="n">
        <v>2</v>
      </c>
      <c r="F296" s="5" t="s">
        <v>164</v>
      </c>
      <c r="G296" s="5" t="s">
        <v>361</v>
      </c>
      <c r="H296" s="5" t="s">
        <v>2802</v>
      </c>
      <c r="I296" s="5" t="s">
        <v>51</v>
      </c>
      <c r="J296" s="5" t="s">
        <v>79</v>
      </c>
      <c r="K296" s="5" t="s">
        <v>568</v>
      </c>
      <c r="L296" s="5" t="s">
        <v>1107</v>
      </c>
      <c r="M296" s="5" t="s">
        <v>58</v>
      </c>
      <c r="N296" s="5" t="s">
        <v>84</v>
      </c>
    </row>
    <row r="297" customFormat="false" ht="22.35" hidden="false" customHeight="false" outlineLevel="0" collapsed="false">
      <c r="A297" s="5" t="s">
        <v>2806</v>
      </c>
      <c r="B297" s="5" t="s">
        <v>2797</v>
      </c>
      <c r="C297" s="5" t="s">
        <v>2807</v>
      </c>
      <c r="D297" s="5" t="s">
        <v>2808</v>
      </c>
      <c r="E297" s="5" t="n">
        <v>2</v>
      </c>
      <c r="F297" s="5" t="s">
        <v>53</v>
      </c>
      <c r="G297" s="5" t="s">
        <v>361</v>
      </c>
      <c r="H297" s="5" t="s">
        <v>770</v>
      </c>
      <c r="I297" s="5" t="s">
        <v>51</v>
      </c>
      <c r="J297" s="5" t="s">
        <v>52</v>
      </c>
      <c r="K297" s="5" t="s">
        <v>693</v>
      </c>
      <c r="L297" s="5" t="s">
        <v>1740</v>
      </c>
      <c r="M297" s="5" t="s">
        <v>58</v>
      </c>
      <c r="N297" s="5" t="s">
        <v>51</v>
      </c>
    </row>
    <row r="298" customFormat="false" ht="32.8" hidden="false" customHeight="false" outlineLevel="0" collapsed="false">
      <c r="A298" s="5" t="s">
        <v>2814</v>
      </c>
      <c r="B298" s="5" t="s">
        <v>2797</v>
      </c>
      <c r="C298" s="5" t="s">
        <v>2815</v>
      </c>
      <c r="D298" s="5" t="s">
        <v>2816</v>
      </c>
      <c r="E298" s="5" t="n">
        <v>2</v>
      </c>
      <c r="F298" s="5" t="s">
        <v>53</v>
      </c>
      <c r="G298" s="5" t="s">
        <v>238</v>
      </c>
      <c r="H298" s="5" t="s">
        <v>2818</v>
      </c>
      <c r="I298" s="5" t="s">
        <v>84</v>
      </c>
      <c r="J298" s="5" t="s">
        <v>79</v>
      </c>
      <c r="K298" s="5" t="s">
        <v>196</v>
      </c>
      <c r="L298" s="5" t="s">
        <v>232</v>
      </c>
      <c r="M298" s="5" t="s">
        <v>58</v>
      </c>
      <c r="N298" s="5" t="s">
        <v>84</v>
      </c>
    </row>
    <row r="299" customFormat="false" ht="22.35" hidden="false" customHeight="false" outlineLevel="0" collapsed="false">
      <c r="A299" s="5" t="s">
        <v>2822</v>
      </c>
      <c r="B299" s="5" t="s">
        <v>2797</v>
      </c>
      <c r="C299" s="5" t="s">
        <v>2823</v>
      </c>
      <c r="D299" s="5" t="s">
        <v>2824</v>
      </c>
      <c r="E299" s="5" t="n">
        <v>2</v>
      </c>
      <c r="F299" s="5" t="s">
        <v>53</v>
      </c>
      <c r="G299" s="5" t="s">
        <v>238</v>
      </c>
      <c r="H299" s="5" t="s">
        <v>820</v>
      </c>
      <c r="I299" s="5" t="s">
        <v>51</v>
      </c>
      <c r="J299" s="5" t="s">
        <v>79</v>
      </c>
      <c r="K299" s="5" t="s">
        <v>196</v>
      </c>
      <c r="L299" s="5" t="s">
        <v>2826</v>
      </c>
      <c r="M299" s="5" t="s">
        <v>58</v>
      </c>
      <c r="N299" s="5" t="s">
        <v>84</v>
      </c>
    </row>
    <row r="300" customFormat="false" ht="22.35" hidden="false" customHeight="false" outlineLevel="0" collapsed="false">
      <c r="A300" s="5" t="s">
        <v>2831</v>
      </c>
      <c r="B300" s="5" t="s">
        <v>2832</v>
      </c>
      <c r="C300" s="5" t="s">
        <v>2833</v>
      </c>
      <c r="D300" s="5" t="s">
        <v>2834</v>
      </c>
      <c r="E300" s="5" t="n">
        <v>2</v>
      </c>
      <c r="F300" s="5" t="s">
        <v>53</v>
      </c>
      <c r="G300" s="5" t="s">
        <v>238</v>
      </c>
      <c r="H300" s="5" t="s">
        <v>2837</v>
      </c>
      <c r="I300" s="5" t="s">
        <v>51</v>
      </c>
      <c r="J300" s="5" t="s">
        <v>52</v>
      </c>
      <c r="K300" s="5" t="s">
        <v>1961</v>
      </c>
      <c r="L300" s="5" t="s">
        <v>2806</v>
      </c>
      <c r="M300" s="5" t="s">
        <v>58</v>
      </c>
      <c r="N300" s="5" t="s">
        <v>51</v>
      </c>
    </row>
    <row r="301" customFormat="false" ht="22.35" hidden="false" customHeight="false" outlineLevel="0" collapsed="false">
      <c r="A301" s="5" t="s">
        <v>2841</v>
      </c>
      <c r="B301" s="5" t="s">
        <v>2832</v>
      </c>
      <c r="C301" s="5" t="s">
        <v>2842</v>
      </c>
      <c r="D301" s="5" t="s">
        <v>2843</v>
      </c>
      <c r="E301" s="5" t="n">
        <v>1</v>
      </c>
      <c r="F301" s="5" t="s">
        <v>53</v>
      </c>
      <c r="G301" s="5" t="s">
        <v>67</v>
      </c>
      <c r="H301" s="5" t="s">
        <v>2846</v>
      </c>
      <c r="I301" s="5" t="s">
        <v>51</v>
      </c>
      <c r="J301" s="5" t="s">
        <v>66</v>
      </c>
      <c r="K301" s="5" t="s">
        <v>76</v>
      </c>
      <c r="L301" s="5" t="s">
        <v>2831</v>
      </c>
      <c r="M301" s="5" t="s">
        <v>58</v>
      </c>
      <c r="N301" s="5" t="s">
        <v>51</v>
      </c>
    </row>
    <row r="302" customFormat="false" ht="22.35" hidden="false" customHeight="false" outlineLevel="0" collapsed="false">
      <c r="A302" s="5" t="s">
        <v>2850</v>
      </c>
      <c r="B302" s="5" t="s">
        <v>2852</v>
      </c>
      <c r="C302" s="5" t="s">
        <v>2853</v>
      </c>
      <c r="D302" s="5" t="s">
        <v>2854</v>
      </c>
      <c r="E302" s="5" t="n">
        <v>1</v>
      </c>
      <c r="F302" s="5" t="s">
        <v>53</v>
      </c>
      <c r="G302" s="5" t="s">
        <v>105</v>
      </c>
      <c r="H302" s="5" t="s">
        <v>2856</v>
      </c>
      <c r="I302" s="5" t="s">
        <v>51</v>
      </c>
      <c r="J302" s="5" t="s">
        <v>79</v>
      </c>
      <c r="K302" s="5" t="s">
        <v>196</v>
      </c>
      <c r="L302" s="5" t="s">
        <v>2704</v>
      </c>
      <c r="M302" s="5" t="s">
        <v>58</v>
      </c>
      <c r="N302" s="5" t="s">
        <v>51</v>
      </c>
    </row>
    <row r="303" customFormat="false" ht="22.35" hidden="false" customHeight="false" outlineLevel="0" collapsed="false">
      <c r="A303" s="5" t="s">
        <v>2859</v>
      </c>
      <c r="B303" s="5" t="s">
        <v>2852</v>
      </c>
      <c r="C303" s="5" t="s">
        <v>2860</v>
      </c>
      <c r="D303" s="5" t="s">
        <v>2861</v>
      </c>
      <c r="E303" s="5" t="n">
        <v>1</v>
      </c>
      <c r="F303" s="5" t="s">
        <v>53</v>
      </c>
      <c r="G303" s="5" t="s">
        <v>1103</v>
      </c>
      <c r="H303" s="5" t="s">
        <v>2863</v>
      </c>
      <c r="I303" s="5" t="s">
        <v>51</v>
      </c>
      <c r="J303" s="5" t="s">
        <v>79</v>
      </c>
      <c r="K303" s="5" t="s">
        <v>196</v>
      </c>
      <c r="L303" s="5" t="s">
        <v>2850</v>
      </c>
      <c r="M303" s="5" t="s">
        <v>58</v>
      </c>
      <c r="N303" s="5" t="s">
        <v>51</v>
      </c>
    </row>
    <row r="304" customFormat="false" ht="22.35" hidden="false" customHeight="false" outlineLevel="0" collapsed="false">
      <c r="A304" s="5" t="s">
        <v>2867</v>
      </c>
      <c r="B304" s="5" t="s">
        <v>2852</v>
      </c>
      <c r="C304" s="5" t="s">
        <v>2868</v>
      </c>
      <c r="D304" s="5" t="s">
        <v>2869</v>
      </c>
      <c r="E304" s="5" t="n">
        <v>1</v>
      </c>
      <c r="F304" s="5" t="s">
        <v>53</v>
      </c>
      <c r="G304" s="5" t="s">
        <v>1103</v>
      </c>
      <c r="H304" s="5" t="s">
        <v>770</v>
      </c>
      <c r="I304" s="5" t="s">
        <v>51</v>
      </c>
      <c r="J304" s="5" t="s">
        <v>408</v>
      </c>
      <c r="K304" s="5" t="s">
        <v>196</v>
      </c>
      <c r="L304" s="5" t="s">
        <v>502</v>
      </c>
      <c r="M304" s="5" t="s">
        <v>58</v>
      </c>
      <c r="N304" s="5" t="s">
        <v>51</v>
      </c>
    </row>
    <row r="305" customFormat="false" ht="32.8" hidden="false" customHeight="false" outlineLevel="0" collapsed="false">
      <c r="A305" s="5" t="s">
        <v>2875</v>
      </c>
      <c r="B305" s="5" t="s">
        <v>2877</v>
      </c>
      <c r="C305" s="5" t="s">
        <v>2878</v>
      </c>
      <c r="D305" s="5" t="s">
        <v>2879</v>
      </c>
      <c r="E305" s="5" t="n">
        <v>1</v>
      </c>
      <c r="F305" s="5" t="s">
        <v>53</v>
      </c>
      <c r="G305" s="5" t="s">
        <v>176</v>
      </c>
      <c r="H305" s="5" t="s">
        <v>2884</v>
      </c>
      <c r="I305" s="5" t="s">
        <v>84</v>
      </c>
      <c r="J305" s="5" t="s">
        <v>79</v>
      </c>
      <c r="K305" s="5" t="s">
        <v>2882</v>
      </c>
      <c r="L305" s="5" t="s">
        <v>2859</v>
      </c>
      <c r="M305" s="5" t="s">
        <v>58</v>
      </c>
      <c r="N305" s="5" t="s">
        <v>51</v>
      </c>
    </row>
    <row r="306" customFormat="false" ht="22.35" hidden="false" customHeight="false" outlineLevel="0" collapsed="false">
      <c r="A306" s="5" t="s">
        <v>2888</v>
      </c>
      <c r="B306" s="5" t="s">
        <v>2877</v>
      </c>
      <c r="C306" s="5" t="s">
        <v>2889</v>
      </c>
      <c r="D306" s="5" t="s">
        <v>2890</v>
      </c>
      <c r="E306" s="5" t="n">
        <v>1</v>
      </c>
      <c r="F306" s="5" t="s">
        <v>53</v>
      </c>
      <c r="G306" s="5" t="s">
        <v>176</v>
      </c>
      <c r="H306" s="5" t="s">
        <v>2894</v>
      </c>
      <c r="I306" s="5" t="s">
        <v>84</v>
      </c>
      <c r="J306" s="5" t="s">
        <v>79</v>
      </c>
      <c r="K306" s="5" t="s">
        <v>2892</v>
      </c>
      <c r="L306" s="5" t="s">
        <v>2859</v>
      </c>
      <c r="M306" s="5" t="s">
        <v>58</v>
      </c>
      <c r="N306" s="5" t="s">
        <v>51</v>
      </c>
    </row>
    <row r="307" customFormat="false" ht="22.35" hidden="false" customHeight="false" outlineLevel="0" collapsed="false">
      <c r="A307" s="5" t="s">
        <v>2897</v>
      </c>
      <c r="B307" s="5" t="s">
        <v>2877</v>
      </c>
      <c r="C307" s="5" t="s">
        <v>2898</v>
      </c>
      <c r="D307" s="5" t="s">
        <v>2899</v>
      </c>
      <c r="E307" s="5" t="n">
        <v>1</v>
      </c>
      <c r="F307" s="5" t="s">
        <v>53</v>
      </c>
      <c r="G307" s="5" t="s">
        <v>67</v>
      </c>
      <c r="H307" s="5" t="s">
        <v>2903</v>
      </c>
      <c r="I307" s="5" t="s">
        <v>84</v>
      </c>
      <c r="J307" s="5" t="s">
        <v>79</v>
      </c>
      <c r="K307" s="5" t="s">
        <v>568</v>
      </c>
      <c r="L307" s="5" t="s">
        <v>2901</v>
      </c>
      <c r="M307" s="5" t="s">
        <v>58</v>
      </c>
      <c r="N307" s="5" t="s">
        <v>51</v>
      </c>
    </row>
    <row r="308" customFormat="false" ht="22.35" hidden="false" customHeight="false" outlineLevel="0" collapsed="false">
      <c r="A308" s="5" t="s">
        <v>2907</v>
      </c>
      <c r="B308" s="5" t="s">
        <v>2877</v>
      </c>
      <c r="C308" s="5" t="s">
        <v>2908</v>
      </c>
      <c r="D308" s="5" t="s">
        <v>2909</v>
      </c>
      <c r="E308" s="5" t="n">
        <v>1</v>
      </c>
      <c r="F308" s="5" t="s">
        <v>53</v>
      </c>
      <c r="G308" s="5" t="s">
        <v>389</v>
      </c>
      <c r="H308" s="5" t="s">
        <v>2912</v>
      </c>
      <c r="I308" s="5" t="s">
        <v>84</v>
      </c>
      <c r="J308" s="5" t="s">
        <v>79</v>
      </c>
      <c r="K308" s="5" t="s">
        <v>578</v>
      </c>
      <c r="L308" s="5" t="s">
        <v>2859</v>
      </c>
      <c r="M308" s="5" t="s">
        <v>58</v>
      </c>
      <c r="N308" s="5" t="s">
        <v>51</v>
      </c>
    </row>
    <row r="309" customFormat="false" ht="22.35" hidden="false" customHeight="false" outlineLevel="0" collapsed="false">
      <c r="A309" s="5" t="s">
        <v>2916</v>
      </c>
      <c r="B309" s="5" t="s">
        <v>2877</v>
      </c>
      <c r="C309" s="5" t="s">
        <v>2917</v>
      </c>
      <c r="D309" s="5" t="s">
        <v>2918</v>
      </c>
      <c r="E309" s="5" t="n">
        <v>2</v>
      </c>
      <c r="F309" s="5" t="s">
        <v>164</v>
      </c>
      <c r="G309" s="5" t="s">
        <v>361</v>
      </c>
      <c r="H309" s="5" t="s">
        <v>2921</v>
      </c>
      <c r="I309" s="5" t="s">
        <v>84</v>
      </c>
      <c r="J309" s="5" t="s">
        <v>79</v>
      </c>
      <c r="K309" s="5" t="s">
        <v>196</v>
      </c>
      <c r="L309" s="5" t="s">
        <v>2814</v>
      </c>
      <c r="M309" s="5" t="s">
        <v>58</v>
      </c>
      <c r="N309" s="5" t="s">
        <v>51</v>
      </c>
    </row>
    <row r="310" customFormat="false" ht="22.35" hidden="false" customHeight="false" outlineLevel="0" collapsed="false">
      <c r="A310" s="5" t="s">
        <v>2925</v>
      </c>
      <c r="B310" s="5" t="s">
        <v>2877</v>
      </c>
      <c r="C310" s="5" t="s">
        <v>2926</v>
      </c>
      <c r="D310" s="5" t="s">
        <v>2927</v>
      </c>
      <c r="E310" s="5" t="n">
        <v>2</v>
      </c>
      <c r="F310" s="5" t="s">
        <v>164</v>
      </c>
      <c r="G310" s="5" t="s">
        <v>361</v>
      </c>
      <c r="H310" s="5" t="s">
        <v>2931</v>
      </c>
      <c r="I310" s="5" t="s">
        <v>84</v>
      </c>
      <c r="J310" s="5" t="s">
        <v>79</v>
      </c>
      <c r="K310" s="5" t="s">
        <v>2892</v>
      </c>
      <c r="L310" s="5" t="s">
        <v>3261</v>
      </c>
      <c r="M310" s="5" t="s">
        <v>58</v>
      </c>
      <c r="N310" s="5" t="s">
        <v>51</v>
      </c>
    </row>
    <row r="311" customFormat="false" ht="22.35" hidden="false" customHeight="false" outlineLevel="0" collapsed="false">
      <c r="A311" s="5" t="s">
        <v>2934</v>
      </c>
      <c r="B311" s="5" t="s">
        <v>2877</v>
      </c>
      <c r="C311" s="5" t="s">
        <v>2935</v>
      </c>
      <c r="D311" s="5" t="s">
        <v>2936</v>
      </c>
      <c r="E311" s="5" t="n">
        <v>1</v>
      </c>
      <c r="F311" s="5" t="s">
        <v>53</v>
      </c>
      <c r="G311" s="5" t="s">
        <v>67</v>
      </c>
      <c r="H311" s="5" t="s">
        <v>2939</v>
      </c>
      <c r="I311" s="5" t="s">
        <v>84</v>
      </c>
      <c r="J311" s="5" t="s">
        <v>79</v>
      </c>
      <c r="K311" s="5" t="s">
        <v>196</v>
      </c>
      <c r="L311" s="5" t="s">
        <v>2925</v>
      </c>
      <c r="M311" s="5" t="s">
        <v>58</v>
      </c>
      <c r="N311" s="5" t="s">
        <v>51</v>
      </c>
    </row>
    <row r="312" customFormat="false" ht="32.8" hidden="false" customHeight="false" outlineLevel="0" collapsed="false">
      <c r="A312" s="5" t="s">
        <v>2943</v>
      </c>
      <c r="B312" s="5" t="s">
        <v>2877</v>
      </c>
      <c r="C312" s="5" t="s">
        <v>2944</v>
      </c>
      <c r="D312" s="5" t="s">
        <v>2945</v>
      </c>
      <c r="E312" s="5" t="n">
        <v>1</v>
      </c>
      <c r="F312" s="5" t="s">
        <v>53</v>
      </c>
      <c r="G312" s="5" t="s">
        <v>67</v>
      </c>
      <c r="H312" s="5" t="s">
        <v>2948</v>
      </c>
      <c r="I312" s="5" t="s">
        <v>84</v>
      </c>
      <c r="J312" s="5" t="s">
        <v>79</v>
      </c>
      <c r="K312" s="5" t="s">
        <v>196</v>
      </c>
      <c r="L312" s="5" t="s">
        <v>2859</v>
      </c>
      <c r="M312" s="5" t="s">
        <v>58</v>
      </c>
      <c r="N312" s="5" t="s">
        <v>51</v>
      </c>
    </row>
    <row r="313" customFormat="false" ht="32.8" hidden="false" customHeight="false" outlineLevel="0" collapsed="false">
      <c r="A313" s="5" t="s">
        <v>2951</v>
      </c>
      <c r="B313" s="5" t="s">
        <v>2877</v>
      </c>
      <c r="C313" s="5" t="s">
        <v>2952</v>
      </c>
      <c r="D313" s="5" t="s">
        <v>2953</v>
      </c>
      <c r="E313" s="5" t="n">
        <v>1</v>
      </c>
      <c r="F313" s="5" t="s">
        <v>53</v>
      </c>
      <c r="G313" s="5" t="s">
        <v>105</v>
      </c>
      <c r="H313" s="5" t="s">
        <v>2792</v>
      </c>
      <c r="I313" s="5" t="s">
        <v>84</v>
      </c>
      <c r="J313" s="5" t="s">
        <v>79</v>
      </c>
      <c r="K313" s="5" t="s">
        <v>196</v>
      </c>
      <c r="L313" s="5" t="s">
        <v>3262</v>
      </c>
      <c r="M313" s="5" t="s">
        <v>58</v>
      </c>
      <c r="N313" s="5" t="s">
        <v>51</v>
      </c>
    </row>
    <row r="314" customFormat="false" ht="22.35" hidden="false" customHeight="false" outlineLevel="0" collapsed="false">
      <c r="A314" s="5" t="s">
        <v>2959</v>
      </c>
      <c r="B314" s="5" t="s">
        <v>2961</v>
      </c>
      <c r="C314" s="5" t="s">
        <v>2962</v>
      </c>
      <c r="D314" s="5" t="s">
        <v>2963</v>
      </c>
      <c r="E314" s="5" t="n">
        <v>2</v>
      </c>
      <c r="F314" s="5" t="s">
        <v>53</v>
      </c>
      <c r="G314" s="5" t="s">
        <v>238</v>
      </c>
      <c r="H314" s="5" t="s">
        <v>2966</v>
      </c>
      <c r="I314" s="5" t="s">
        <v>84</v>
      </c>
      <c r="J314" s="5" t="s">
        <v>52</v>
      </c>
      <c r="K314" s="5" t="s">
        <v>196</v>
      </c>
      <c r="L314" s="5" t="s">
        <v>2780</v>
      </c>
      <c r="M314" s="5" t="s">
        <v>774</v>
      </c>
      <c r="N314" s="5" t="s">
        <v>84</v>
      </c>
    </row>
    <row r="315" customFormat="false" ht="22.35" hidden="false" customHeight="false" outlineLevel="0" collapsed="false">
      <c r="A315" s="5" t="s">
        <v>2970</v>
      </c>
      <c r="B315" s="5" t="s">
        <v>2961</v>
      </c>
      <c r="C315" s="5" t="s">
        <v>2971</v>
      </c>
      <c r="D315" s="5" t="s">
        <v>2972</v>
      </c>
      <c r="E315" s="5" t="n">
        <v>2</v>
      </c>
      <c r="F315" s="5" t="s">
        <v>164</v>
      </c>
      <c r="G315" s="5" t="s">
        <v>2976</v>
      </c>
      <c r="H315" s="5" t="s">
        <v>2975</v>
      </c>
      <c r="I315" s="5" t="s">
        <v>51</v>
      </c>
      <c r="J315" s="5" t="s">
        <v>2224</v>
      </c>
      <c r="K315" s="5" t="s">
        <v>568</v>
      </c>
      <c r="L315" s="5" t="s">
        <v>2959</v>
      </c>
      <c r="M315" s="5" t="s">
        <v>774</v>
      </c>
      <c r="N315" s="5" t="s">
        <v>84</v>
      </c>
    </row>
    <row r="316" customFormat="false" ht="22.35" hidden="false" customHeight="false" outlineLevel="0" collapsed="false">
      <c r="A316" s="5" t="s">
        <v>2980</v>
      </c>
      <c r="B316" s="5" t="s">
        <v>2961</v>
      </c>
      <c r="C316" s="5" t="s">
        <v>2981</v>
      </c>
      <c r="D316" s="5" t="s">
        <v>2982</v>
      </c>
      <c r="E316" s="5" t="n">
        <v>1</v>
      </c>
      <c r="F316" s="5" t="s">
        <v>53</v>
      </c>
      <c r="G316" s="5" t="s">
        <v>2985</v>
      </c>
      <c r="H316" s="5" t="s">
        <v>1473</v>
      </c>
      <c r="I316" s="5" t="s">
        <v>51</v>
      </c>
      <c r="J316" s="5" t="s">
        <v>2224</v>
      </c>
      <c r="K316" s="5" t="s">
        <v>578</v>
      </c>
      <c r="L316" s="5" t="s">
        <v>1466</v>
      </c>
      <c r="M316" s="5" t="s">
        <v>774</v>
      </c>
      <c r="N316" s="5" t="s">
        <v>84</v>
      </c>
    </row>
    <row r="317" customFormat="false" ht="22.35" hidden="false" customHeight="false" outlineLevel="0" collapsed="false">
      <c r="A317" s="5" t="s">
        <v>2988</v>
      </c>
      <c r="B317" s="5" t="s">
        <v>2961</v>
      </c>
      <c r="C317" s="5" t="s">
        <v>2989</v>
      </c>
      <c r="D317" s="5" t="s">
        <v>2990</v>
      </c>
      <c r="E317" s="5" t="n">
        <v>1</v>
      </c>
      <c r="F317" s="5" t="s">
        <v>53</v>
      </c>
      <c r="G317" s="5" t="s">
        <v>2993</v>
      </c>
      <c r="H317" s="5" t="s">
        <v>2185</v>
      </c>
      <c r="I317" s="5" t="s">
        <v>51</v>
      </c>
      <c r="J317" s="5" t="s">
        <v>2224</v>
      </c>
      <c r="K317" s="5" t="s">
        <v>578</v>
      </c>
      <c r="L317" s="5" t="s">
        <v>2676</v>
      </c>
      <c r="M317" s="5" t="s">
        <v>774</v>
      </c>
      <c r="N317" s="5" t="s">
        <v>84</v>
      </c>
    </row>
    <row r="318" customFormat="false" ht="22.35" hidden="false" customHeight="false" outlineLevel="0" collapsed="false">
      <c r="A318" s="5" t="s">
        <v>2996</v>
      </c>
      <c r="B318" s="5" t="s">
        <v>2961</v>
      </c>
      <c r="C318" s="5" t="s">
        <v>2997</v>
      </c>
      <c r="D318" s="5" t="s">
        <v>2998</v>
      </c>
      <c r="E318" s="5" t="n">
        <v>1</v>
      </c>
      <c r="F318" s="5" t="s">
        <v>53</v>
      </c>
      <c r="G318" s="5" t="s">
        <v>3001</v>
      </c>
      <c r="H318" s="5" t="s">
        <v>2846</v>
      </c>
      <c r="I318" s="5" t="s">
        <v>51</v>
      </c>
      <c r="J318" s="5" t="s">
        <v>2224</v>
      </c>
      <c r="K318" s="5" t="s">
        <v>196</v>
      </c>
      <c r="L318" s="5" t="s">
        <v>2570</v>
      </c>
      <c r="M318" s="5" t="s">
        <v>58</v>
      </c>
      <c r="N318" s="5" t="s">
        <v>84</v>
      </c>
    </row>
    <row r="319" customFormat="false" ht="22.35" hidden="false" customHeight="false" outlineLevel="0" collapsed="false">
      <c r="A319" s="5" t="s">
        <v>3003</v>
      </c>
      <c r="B319" s="5" t="s">
        <v>2961</v>
      </c>
      <c r="C319" s="5" t="s">
        <v>3004</v>
      </c>
      <c r="D319" s="5" t="s">
        <v>3005</v>
      </c>
      <c r="E319" s="5" t="n">
        <v>1</v>
      </c>
      <c r="F319" s="5" t="s">
        <v>53</v>
      </c>
      <c r="G319" s="5" t="s">
        <v>2993</v>
      </c>
      <c r="H319" s="5" t="s">
        <v>3008</v>
      </c>
      <c r="I319" s="5" t="s">
        <v>51</v>
      </c>
      <c r="J319" s="5" t="s">
        <v>2224</v>
      </c>
      <c r="K319" s="5" t="s">
        <v>196</v>
      </c>
      <c r="L319" s="5" t="s">
        <v>3263</v>
      </c>
      <c r="M319" s="5" t="s">
        <v>774</v>
      </c>
      <c r="N319" s="5" t="s">
        <v>84</v>
      </c>
    </row>
    <row r="320" customFormat="false" ht="22.35" hidden="false" customHeight="false" outlineLevel="0" collapsed="false">
      <c r="A320" s="5" t="s">
        <v>3012</v>
      </c>
      <c r="B320" s="5" t="s">
        <v>3014</v>
      </c>
      <c r="C320" s="5" t="s">
        <v>3015</v>
      </c>
      <c r="D320" s="5" t="s">
        <v>3016</v>
      </c>
      <c r="E320" s="5" t="n">
        <v>1</v>
      </c>
      <c r="F320" s="5" t="s">
        <v>1548</v>
      </c>
      <c r="G320" s="5" t="s">
        <v>1548</v>
      </c>
      <c r="H320" s="5" t="s">
        <v>3019</v>
      </c>
      <c r="I320" s="5" t="s">
        <v>51</v>
      </c>
      <c r="J320" s="5" t="s">
        <v>79</v>
      </c>
      <c r="K320" s="5" t="s">
        <v>568</v>
      </c>
      <c r="L320" s="5" t="s">
        <v>2222</v>
      </c>
      <c r="M320" s="5" t="s">
        <v>58</v>
      </c>
      <c r="N320" s="5" t="s">
        <v>84</v>
      </c>
    </row>
    <row r="321" customFormat="false" ht="22.35" hidden="false" customHeight="false" outlineLevel="0" collapsed="false">
      <c r="A321" s="5" t="s">
        <v>3022</v>
      </c>
      <c r="B321" s="5" t="s">
        <v>3014</v>
      </c>
      <c r="C321" s="5" t="s">
        <v>3023</v>
      </c>
      <c r="D321" s="5" t="s">
        <v>3024</v>
      </c>
      <c r="E321" s="5" t="n">
        <v>1</v>
      </c>
      <c r="F321" s="5" t="s">
        <v>53</v>
      </c>
      <c r="G321" s="5" t="s">
        <v>1548</v>
      </c>
      <c r="H321" s="5" t="s">
        <v>3027</v>
      </c>
      <c r="I321" s="5" t="s">
        <v>51</v>
      </c>
      <c r="J321" s="5" t="s">
        <v>2224</v>
      </c>
      <c r="K321" s="5" t="s">
        <v>76</v>
      </c>
      <c r="L321" s="5" t="s">
        <v>2959</v>
      </c>
      <c r="M321" s="5" t="s">
        <v>532</v>
      </c>
      <c r="N321" s="5" t="s">
        <v>84</v>
      </c>
    </row>
    <row r="322" customFormat="false" ht="22.35" hidden="false" customHeight="false" outlineLevel="0" collapsed="false">
      <c r="A322" s="5" t="s">
        <v>3030</v>
      </c>
      <c r="B322" s="5" t="s">
        <v>3014</v>
      </c>
      <c r="C322" s="5" t="s">
        <v>3031</v>
      </c>
      <c r="D322" s="5" t="s">
        <v>3032</v>
      </c>
      <c r="E322" s="5" t="n">
        <v>1</v>
      </c>
      <c r="F322" s="5" t="s">
        <v>53</v>
      </c>
      <c r="G322" s="5" t="s">
        <v>3035</v>
      </c>
      <c r="H322" s="5" t="s">
        <v>3027</v>
      </c>
      <c r="I322" s="5" t="s">
        <v>51</v>
      </c>
      <c r="J322" s="5" t="s">
        <v>2224</v>
      </c>
      <c r="K322" s="5" t="s">
        <v>693</v>
      </c>
      <c r="L322" s="5" t="s">
        <v>2959</v>
      </c>
      <c r="M322" s="5" t="s">
        <v>532</v>
      </c>
      <c r="N322" s="5" t="s">
        <v>84</v>
      </c>
    </row>
    <row r="323" customFormat="false" ht="22.35" hidden="false" customHeight="false" outlineLevel="0" collapsed="false">
      <c r="A323" s="5" t="s">
        <v>3038</v>
      </c>
      <c r="B323" s="5" t="s">
        <v>3040</v>
      </c>
      <c r="C323" s="5" t="s">
        <v>3041</v>
      </c>
      <c r="D323" s="5" t="s">
        <v>3042</v>
      </c>
      <c r="E323" s="5" t="n">
        <v>1</v>
      </c>
      <c r="F323" s="5" t="s">
        <v>53</v>
      </c>
      <c r="G323" s="5" t="s">
        <v>3046</v>
      </c>
      <c r="H323" s="5" t="s">
        <v>642</v>
      </c>
      <c r="I323" s="5" t="s">
        <v>51</v>
      </c>
      <c r="J323" s="5" t="s">
        <v>52</v>
      </c>
      <c r="K323" s="5" t="s">
        <v>3044</v>
      </c>
      <c r="L323" s="5" t="s">
        <v>2951</v>
      </c>
      <c r="M323" s="5" t="s">
        <v>58</v>
      </c>
      <c r="N323" s="5" t="s">
        <v>51</v>
      </c>
    </row>
    <row r="324" customFormat="false" ht="22.35" hidden="false" customHeight="false" outlineLevel="0" collapsed="false">
      <c r="A324" s="5" t="s">
        <v>3050</v>
      </c>
      <c r="B324" s="5" t="s">
        <v>3040</v>
      </c>
      <c r="C324" s="5" t="s">
        <v>3051</v>
      </c>
      <c r="D324" s="5" t="s">
        <v>3052</v>
      </c>
      <c r="E324" s="5" t="n">
        <v>1</v>
      </c>
      <c r="F324" s="5" t="s">
        <v>53</v>
      </c>
      <c r="G324" s="5" t="s">
        <v>67</v>
      </c>
      <c r="H324" s="5" t="s">
        <v>3055</v>
      </c>
      <c r="I324" s="5" t="s">
        <v>51</v>
      </c>
      <c r="J324" s="5" t="s">
        <v>79</v>
      </c>
      <c r="K324" s="5" t="s">
        <v>3044</v>
      </c>
      <c r="L324" s="5" t="s">
        <v>3038</v>
      </c>
      <c r="M324" s="5" t="s">
        <v>58</v>
      </c>
      <c r="N324" s="5" t="s">
        <v>51</v>
      </c>
    </row>
    <row r="325" customFormat="false" ht="22.35" hidden="false" customHeight="false" outlineLevel="0" collapsed="false">
      <c r="A325" s="5" t="s">
        <v>3058</v>
      </c>
      <c r="B325" s="5" t="s">
        <v>3040</v>
      </c>
      <c r="C325" s="5" t="s">
        <v>3059</v>
      </c>
      <c r="D325" s="5" t="s">
        <v>3060</v>
      </c>
      <c r="E325" s="5" t="n">
        <v>1</v>
      </c>
      <c r="F325" s="5" t="s">
        <v>53</v>
      </c>
      <c r="G325" s="5" t="s">
        <v>67</v>
      </c>
      <c r="H325" s="5" t="s">
        <v>3064</v>
      </c>
      <c r="I325" s="5" t="s">
        <v>51</v>
      </c>
      <c r="J325" s="5" t="s">
        <v>79</v>
      </c>
      <c r="K325" s="5" t="s">
        <v>196</v>
      </c>
      <c r="L325" s="5" t="s">
        <v>3062</v>
      </c>
      <c r="M325" s="5" t="s">
        <v>58</v>
      </c>
      <c r="N325" s="5" t="s">
        <v>51</v>
      </c>
    </row>
    <row r="326" customFormat="false" ht="22.35" hidden="false" customHeight="false" outlineLevel="0" collapsed="false">
      <c r="A326" s="5" t="s">
        <v>3068</v>
      </c>
      <c r="B326" s="5" t="s">
        <v>3040</v>
      </c>
      <c r="C326" s="5" t="s">
        <v>3069</v>
      </c>
      <c r="D326" s="5" t="s">
        <v>3070</v>
      </c>
      <c r="E326" s="5" t="n">
        <v>1</v>
      </c>
      <c r="F326" s="5" t="s">
        <v>53</v>
      </c>
      <c r="G326" s="5" t="s">
        <v>67</v>
      </c>
      <c r="H326" s="5" t="s">
        <v>3073</v>
      </c>
      <c r="I326" s="5" t="s">
        <v>51</v>
      </c>
      <c r="J326" s="5" t="s">
        <v>79</v>
      </c>
      <c r="K326" s="5" t="s">
        <v>196</v>
      </c>
      <c r="L326" s="5" t="s">
        <v>3058</v>
      </c>
      <c r="M326" s="5" t="s">
        <v>58</v>
      </c>
      <c r="N326" s="5" t="s">
        <v>51</v>
      </c>
    </row>
    <row r="327" customFormat="false" ht="22.35" hidden="false" customHeight="false" outlineLevel="0" collapsed="false">
      <c r="A327" s="5" t="s">
        <v>3077</v>
      </c>
      <c r="B327" s="5" t="s">
        <v>3040</v>
      </c>
      <c r="C327" s="5" t="s">
        <v>3078</v>
      </c>
      <c r="D327" s="5" t="s">
        <v>3079</v>
      </c>
      <c r="E327" s="5" t="n">
        <v>1</v>
      </c>
      <c r="F327" s="5" t="s">
        <v>53</v>
      </c>
      <c r="G327" s="5" t="s">
        <v>105</v>
      </c>
      <c r="H327" s="5" t="s">
        <v>3082</v>
      </c>
      <c r="I327" s="5" t="s">
        <v>663</v>
      </c>
      <c r="J327" s="5" t="s">
        <v>52</v>
      </c>
      <c r="K327" s="5" t="s">
        <v>48</v>
      </c>
      <c r="L327" s="5" t="s">
        <v>2951</v>
      </c>
      <c r="M327" s="5" t="s">
        <v>58</v>
      </c>
      <c r="N327" s="5" t="s">
        <v>51</v>
      </c>
    </row>
    <row r="328" customFormat="false" ht="22.35" hidden="false" customHeight="false" outlineLevel="0" collapsed="false">
      <c r="A328" s="5" t="s">
        <v>3086</v>
      </c>
      <c r="B328" s="5" t="s">
        <v>3040</v>
      </c>
      <c r="C328" s="5" t="s">
        <v>3087</v>
      </c>
      <c r="D328" s="5" t="s">
        <v>3088</v>
      </c>
      <c r="E328" s="5" t="n">
        <v>1</v>
      </c>
      <c r="F328" s="5" t="s">
        <v>53</v>
      </c>
      <c r="G328" s="5" t="s">
        <v>389</v>
      </c>
      <c r="H328" s="5" t="s">
        <v>3091</v>
      </c>
      <c r="I328" s="5" t="s">
        <v>51</v>
      </c>
      <c r="J328" s="5" t="s">
        <v>79</v>
      </c>
      <c r="K328" s="5" t="s">
        <v>196</v>
      </c>
      <c r="L328" s="5" t="s">
        <v>3068</v>
      </c>
      <c r="M328" s="5" t="s">
        <v>58</v>
      </c>
      <c r="N328" s="5" t="s">
        <v>51</v>
      </c>
    </row>
    <row r="329" customFormat="false" ht="22.35" hidden="false" customHeight="false" outlineLevel="0" collapsed="false">
      <c r="A329" s="5" t="s">
        <v>3094</v>
      </c>
      <c r="B329" s="5" t="s">
        <v>3096</v>
      </c>
      <c r="C329" s="5" t="s">
        <v>3097</v>
      </c>
      <c r="D329" s="5" t="s">
        <v>3098</v>
      </c>
      <c r="E329" s="5" t="n">
        <v>1</v>
      </c>
      <c r="F329" s="5" t="s">
        <v>53</v>
      </c>
      <c r="G329" s="5" t="s">
        <v>3102</v>
      </c>
      <c r="H329" s="5" t="s">
        <v>3101</v>
      </c>
      <c r="I329" s="5" t="s">
        <v>84</v>
      </c>
      <c r="J329" s="5" t="s">
        <v>79</v>
      </c>
      <c r="K329" s="5" t="s">
        <v>1905</v>
      </c>
      <c r="L329" s="5" t="s">
        <v>1233</v>
      </c>
      <c r="M329" s="5" t="s">
        <v>58</v>
      </c>
      <c r="N329" s="5" t="s">
        <v>84</v>
      </c>
    </row>
    <row r="330" customFormat="false" ht="22.35" hidden="false" customHeight="false" outlineLevel="0" collapsed="false">
      <c r="A330" s="5" t="s">
        <v>3105</v>
      </c>
      <c r="B330" s="5" t="s">
        <v>3096</v>
      </c>
      <c r="C330" s="5" t="s">
        <v>3106</v>
      </c>
      <c r="D330" s="5" t="s">
        <v>3107</v>
      </c>
      <c r="E330" s="5" t="n">
        <v>1</v>
      </c>
      <c r="F330" s="5" t="s">
        <v>53</v>
      </c>
      <c r="G330" s="5" t="s">
        <v>3111</v>
      </c>
      <c r="H330" s="5" t="s">
        <v>3110</v>
      </c>
      <c r="I330" s="5" t="s">
        <v>84</v>
      </c>
      <c r="J330" s="5" t="s">
        <v>52</v>
      </c>
      <c r="K330" s="5" t="s">
        <v>1905</v>
      </c>
      <c r="L330" s="5" t="s">
        <v>886</v>
      </c>
      <c r="M330" s="5" t="s">
        <v>58</v>
      </c>
      <c r="N330" s="5" t="s">
        <v>51</v>
      </c>
    </row>
    <row r="331" customFormat="false" ht="22.35" hidden="false" customHeight="false" outlineLevel="0" collapsed="false">
      <c r="A331" s="5" t="s">
        <v>3115</v>
      </c>
      <c r="B331" s="5" t="s">
        <v>3096</v>
      </c>
      <c r="C331" s="5" t="s">
        <v>3116</v>
      </c>
      <c r="D331" s="5" t="s">
        <v>3117</v>
      </c>
      <c r="E331" s="5" t="n">
        <v>1</v>
      </c>
      <c r="F331" s="5" t="s">
        <v>53</v>
      </c>
      <c r="G331" s="5" t="s">
        <v>389</v>
      </c>
      <c r="H331" s="5" t="s">
        <v>3110</v>
      </c>
      <c r="I331" s="5" t="s">
        <v>84</v>
      </c>
      <c r="J331" s="5" t="s">
        <v>408</v>
      </c>
      <c r="K331" s="5" t="s">
        <v>1905</v>
      </c>
      <c r="L331" s="5" t="s">
        <v>1296</v>
      </c>
      <c r="M331" s="5" t="s">
        <v>58</v>
      </c>
      <c r="N331" s="5" t="s">
        <v>84</v>
      </c>
    </row>
    <row r="332" customFormat="false" ht="22.35" hidden="false" customHeight="false" outlineLevel="0" collapsed="false">
      <c r="A332" s="5" t="s">
        <v>1849</v>
      </c>
      <c r="B332" s="5" t="s">
        <v>3096</v>
      </c>
      <c r="C332" s="5" t="s">
        <v>3122</v>
      </c>
      <c r="D332" s="5" t="s">
        <v>3123</v>
      </c>
      <c r="E332" s="5" t="n">
        <v>1</v>
      </c>
      <c r="F332" s="5" t="s">
        <v>53</v>
      </c>
      <c r="G332" s="5" t="s">
        <v>67</v>
      </c>
      <c r="H332" s="5" t="s">
        <v>3127</v>
      </c>
      <c r="I332" s="5" t="s">
        <v>84</v>
      </c>
      <c r="J332" s="5" t="s">
        <v>408</v>
      </c>
      <c r="K332" s="5" t="s">
        <v>1905</v>
      </c>
      <c r="L332" s="5" t="s">
        <v>3264</v>
      </c>
      <c r="M332" s="5" t="s">
        <v>58</v>
      </c>
      <c r="N332" s="5" t="s">
        <v>84</v>
      </c>
    </row>
    <row r="333" customFormat="false" ht="22.35" hidden="false" customHeight="false" outlineLevel="0" collapsed="false">
      <c r="A333" s="5" t="s">
        <v>3130</v>
      </c>
      <c r="B333" s="5" t="s">
        <v>3096</v>
      </c>
      <c r="C333" s="5" t="s">
        <v>3131</v>
      </c>
      <c r="D333" s="5" t="s">
        <v>3132</v>
      </c>
      <c r="E333" s="5" t="n">
        <v>1</v>
      </c>
      <c r="F333" s="5" t="s">
        <v>53</v>
      </c>
      <c r="G333" s="5" t="s">
        <v>2655</v>
      </c>
      <c r="H333" s="5" t="s">
        <v>1647</v>
      </c>
      <c r="I333" s="5" t="s">
        <v>84</v>
      </c>
      <c r="J333" s="5" t="s">
        <v>79</v>
      </c>
      <c r="K333" s="5" t="s">
        <v>1905</v>
      </c>
      <c r="L333" s="5" t="s">
        <v>886</v>
      </c>
      <c r="M333" s="5" t="s">
        <v>58</v>
      </c>
      <c r="N333" s="5" t="s">
        <v>84</v>
      </c>
    </row>
    <row r="334" customFormat="false" ht="22.35" hidden="false" customHeight="false" outlineLevel="0" collapsed="false">
      <c r="A334" s="5" t="s">
        <v>3137</v>
      </c>
      <c r="B334" s="5" t="s">
        <v>3139</v>
      </c>
      <c r="C334" s="5" t="s">
        <v>3140</v>
      </c>
      <c r="D334" s="5" t="s">
        <v>3141</v>
      </c>
      <c r="E334" s="5" t="n">
        <v>1</v>
      </c>
      <c r="F334" s="5" t="s">
        <v>53</v>
      </c>
      <c r="G334" s="5" t="s">
        <v>67</v>
      </c>
      <c r="H334" s="5" t="s">
        <v>685</v>
      </c>
      <c r="I334" s="5" t="s">
        <v>84</v>
      </c>
      <c r="J334" s="5" t="s">
        <v>79</v>
      </c>
      <c r="K334" s="5" t="s">
        <v>578</v>
      </c>
      <c r="L334" s="5" t="s">
        <v>1466</v>
      </c>
      <c r="M334" s="5" t="s">
        <v>58</v>
      </c>
      <c r="N334" s="5" t="s">
        <v>84</v>
      </c>
    </row>
    <row r="335" customFormat="false" ht="22.35" hidden="false" customHeight="false" outlineLevel="0" collapsed="false">
      <c r="A335" s="5" t="s">
        <v>3146</v>
      </c>
      <c r="B335" s="5" t="s">
        <v>3139</v>
      </c>
      <c r="C335" s="5" t="s">
        <v>3147</v>
      </c>
      <c r="D335" s="5" t="s">
        <v>3148</v>
      </c>
      <c r="E335" s="5" t="n">
        <v>1</v>
      </c>
      <c r="F335" s="5" t="s">
        <v>53</v>
      </c>
      <c r="G335" s="5" t="s">
        <v>67</v>
      </c>
      <c r="H335" s="5" t="s">
        <v>3151</v>
      </c>
      <c r="I335" s="5" t="s">
        <v>51</v>
      </c>
      <c r="J335" s="5" t="s">
        <v>52</v>
      </c>
      <c r="K335" s="5" t="s">
        <v>578</v>
      </c>
      <c r="L335" s="5" t="s">
        <v>3137</v>
      </c>
      <c r="M335" s="5" t="s">
        <v>532</v>
      </c>
      <c r="N335" s="5" t="s">
        <v>84</v>
      </c>
    </row>
    <row r="336" customFormat="false" ht="22.35" hidden="false" customHeight="false" outlineLevel="0" collapsed="false">
      <c r="A336" s="5" t="s">
        <v>3155</v>
      </c>
      <c r="B336" s="5" t="s">
        <v>3139</v>
      </c>
      <c r="C336" s="5" t="s">
        <v>3156</v>
      </c>
      <c r="D336" s="5" t="s">
        <v>3157</v>
      </c>
      <c r="E336" s="5" t="n">
        <v>2</v>
      </c>
      <c r="F336" s="5" t="s">
        <v>164</v>
      </c>
      <c r="G336" s="5" t="s">
        <v>238</v>
      </c>
      <c r="H336" s="5" t="s">
        <v>2185</v>
      </c>
      <c r="I336" s="5" t="s">
        <v>51</v>
      </c>
      <c r="J336" s="5" t="s">
        <v>52</v>
      </c>
      <c r="K336" s="5" t="s">
        <v>578</v>
      </c>
      <c r="L336" s="5" t="s">
        <v>3137</v>
      </c>
      <c r="M336" s="5" t="s">
        <v>58</v>
      </c>
      <c r="N336" s="5" t="s">
        <v>84</v>
      </c>
    </row>
    <row r="337" customFormat="false" ht="22.35" hidden="false" customHeight="false" outlineLevel="0" collapsed="false">
      <c r="A337" s="5" t="s">
        <v>3163</v>
      </c>
      <c r="B337" s="5" t="s">
        <v>3165</v>
      </c>
      <c r="C337" s="5" t="s">
        <v>3166</v>
      </c>
      <c r="D337" s="5" t="s">
        <v>3167</v>
      </c>
      <c r="E337" s="5" t="n">
        <v>1</v>
      </c>
      <c r="F337" s="5" t="s">
        <v>53</v>
      </c>
      <c r="G337" s="5" t="s">
        <v>67</v>
      </c>
      <c r="H337" s="5" t="s">
        <v>685</v>
      </c>
      <c r="I337" s="5" t="s">
        <v>84</v>
      </c>
      <c r="J337" s="5" t="s">
        <v>408</v>
      </c>
      <c r="K337" s="5" t="s">
        <v>196</v>
      </c>
      <c r="L337" s="5" t="s">
        <v>263</v>
      </c>
      <c r="M337" s="5" t="s">
        <v>774</v>
      </c>
      <c r="N337" s="5" t="s">
        <v>51</v>
      </c>
    </row>
    <row r="338" customFormat="false" ht="22.35" hidden="false" customHeight="false" outlineLevel="0" collapsed="false">
      <c r="A338" s="5" t="s">
        <v>3173</v>
      </c>
      <c r="B338" s="5" t="s">
        <v>3165</v>
      </c>
      <c r="C338" s="5" t="s">
        <v>3174</v>
      </c>
      <c r="D338" s="5" t="s">
        <v>3175</v>
      </c>
      <c r="E338" s="5" t="n">
        <v>7</v>
      </c>
      <c r="F338" s="5" t="s">
        <v>164</v>
      </c>
      <c r="G338" s="5" t="s">
        <v>771</v>
      </c>
      <c r="H338" s="5" t="s">
        <v>1217</v>
      </c>
      <c r="I338" s="5" t="s">
        <v>51</v>
      </c>
      <c r="J338" s="5" t="s">
        <v>408</v>
      </c>
      <c r="K338" s="5" t="s">
        <v>1115</v>
      </c>
      <c r="L338" s="5" t="s">
        <v>3163</v>
      </c>
      <c r="M338" s="5" t="s">
        <v>774</v>
      </c>
      <c r="N338" s="5" t="s">
        <v>84</v>
      </c>
    </row>
    <row r="339" customFormat="false" ht="22.35" hidden="false" customHeight="false" outlineLevel="0" collapsed="false">
      <c r="A339" s="5" t="s">
        <v>3181</v>
      </c>
      <c r="B339" s="5" t="s">
        <v>3165</v>
      </c>
      <c r="C339" s="5" t="s">
        <v>3182</v>
      </c>
      <c r="D339" s="5" t="s">
        <v>3183</v>
      </c>
      <c r="E339" s="5" t="n">
        <v>2</v>
      </c>
      <c r="F339" s="5" t="s">
        <v>53</v>
      </c>
      <c r="G339" s="5" t="s">
        <v>238</v>
      </c>
      <c r="H339" s="5" t="s">
        <v>2139</v>
      </c>
      <c r="I339" s="5" t="s">
        <v>84</v>
      </c>
      <c r="J339" s="5" t="s">
        <v>408</v>
      </c>
      <c r="K339" s="5" t="s">
        <v>693</v>
      </c>
      <c r="L339" s="5" t="s">
        <v>3173</v>
      </c>
      <c r="M339" s="5" t="s">
        <v>774</v>
      </c>
      <c r="N339" s="5" t="s">
        <v>51</v>
      </c>
    </row>
    <row r="340" customFormat="false" ht="22.35" hidden="false" customHeight="false" outlineLevel="0" collapsed="false">
      <c r="A340" s="5" t="s">
        <v>3187</v>
      </c>
      <c r="B340" s="5" t="s">
        <v>3189</v>
      </c>
      <c r="C340" s="5" t="s">
        <v>3190</v>
      </c>
      <c r="D340" s="5" t="s">
        <v>3191</v>
      </c>
      <c r="E340" s="5" t="n">
        <v>1</v>
      </c>
      <c r="F340" s="5" t="s">
        <v>53</v>
      </c>
      <c r="G340" s="5" t="s">
        <v>2985</v>
      </c>
      <c r="H340" s="5" t="s">
        <v>370</v>
      </c>
      <c r="I340" s="5" t="s">
        <v>51</v>
      </c>
      <c r="J340" s="5" t="s">
        <v>79</v>
      </c>
      <c r="K340" s="5" t="s">
        <v>196</v>
      </c>
      <c r="L340" s="5" t="s">
        <v>472</v>
      </c>
      <c r="M340" s="5" t="s">
        <v>58</v>
      </c>
      <c r="N340" s="5" t="s">
        <v>51</v>
      </c>
    </row>
    <row r="341" customFormat="false" ht="22.35" hidden="false" customHeight="false" outlineLevel="0" collapsed="false">
      <c r="A341" s="5" t="s">
        <v>3197</v>
      </c>
      <c r="B341" s="5" t="s">
        <v>3189</v>
      </c>
      <c r="C341" s="5" t="s">
        <v>3198</v>
      </c>
      <c r="D341" s="5" t="s">
        <v>3199</v>
      </c>
      <c r="E341" s="5" t="n">
        <v>1</v>
      </c>
      <c r="F341" s="5" t="s">
        <v>53</v>
      </c>
      <c r="G341" s="5" t="s">
        <v>2993</v>
      </c>
      <c r="H341" s="5" t="s">
        <v>2398</v>
      </c>
      <c r="I341" s="5" t="s">
        <v>51</v>
      </c>
      <c r="J341" s="5" t="s">
        <v>408</v>
      </c>
      <c r="K341" s="5" t="s">
        <v>196</v>
      </c>
      <c r="L341" s="5" t="s">
        <v>3265</v>
      </c>
      <c r="M341" s="5" t="s">
        <v>58</v>
      </c>
      <c r="N341" s="5" t="s">
        <v>51</v>
      </c>
    </row>
    <row r="342" customFormat="false" ht="22.35" hidden="false" customHeight="false" outlineLevel="0" collapsed="false">
      <c r="A342" s="5" t="s">
        <v>3205</v>
      </c>
      <c r="B342" s="5" t="s">
        <v>3189</v>
      </c>
      <c r="C342" s="5" t="s">
        <v>3206</v>
      </c>
      <c r="D342" s="5" t="s">
        <v>3207</v>
      </c>
      <c r="E342" s="5" t="n">
        <v>1</v>
      </c>
      <c r="F342" s="5" t="s">
        <v>53</v>
      </c>
      <c r="G342" s="5" t="s">
        <v>1103</v>
      </c>
      <c r="H342" s="5" t="s">
        <v>3064</v>
      </c>
      <c r="I342" s="5" t="s">
        <v>51</v>
      </c>
      <c r="J342" s="5" t="s">
        <v>79</v>
      </c>
      <c r="K342" s="5" t="s">
        <v>196</v>
      </c>
      <c r="L342" s="5" t="s">
        <v>522</v>
      </c>
      <c r="M342" s="5" t="s">
        <v>58</v>
      </c>
      <c r="N342" s="5" t="s">
        <v>51</v>
      </c>
    </row>
    <row r="343" customFormat="false" ht="22.35" hidden="false" customHeight="false" outlineLevel="0" collapsed="false">
      <c r="A343" s="5" t="s">
        <v>3212</v>
      </c>
      <c r="B343" s="5" t="s">
        <v>3214</v>
      </c>
      <c r="C343" s="5" t="s">
        <v>3215</v>
      </c>
      <c r="D343" s="5" t="s">
        <v>3216</v>
      </c>
      <c r="E343" s="5" t="n">
        <v>1</v>
      </c>
      <c r="F343" s="5" t="s">
        <v>53</v>
      </c>
      <c r="G343" s="5" t="s">
        <v>176</v>
      </c>
      <c r="H343" s="5" t="s">
        <v>3219</v>
      </c>
      <c r="I343" s="5" t="s">
        <v>51</v>
      </c>
      <c r="J343" s="5" t="s">
        <v>408</v>
      </c>
      <c r="K343" s="5" t="s">
        <v>3044</v>
      </c>
      <c r="L343" s="5" t="s">
        <v>3050</v>
      </c>
      <c r="M343" s="5" t="s">
        <v>58</v>
      </c>
      <c r="N343" s="5" t="s">
        <v>51</v>
      </c>
    </row>
    <row r="344" customFormat="false" ht="22.35" hidden="false" customHeight="false" outlineLevel="0" collapsed="false">
      <c r="A344" s="5" t="s">
        <v>3223</v>
      </c>
      <c r="B344" s="5" t="s">
        <v>3214</v>
      </c>
      <c r="C344" s="5" t="s">
        <v>3224</v>
      </c>
      <c r="D344" s="5" t="s">
        <v>3225</v>
      </c>
      <c r="E344" s="5" t="n">
        <v>1</v>
      </c>
      <c r="F344" s="5" t="s">
        <v>53</v>
      </c>
      <c r="G344" s="5" t="s">
        <v>238</v>
      </c>
      <c r="H344" s="5" t="s">
        <v>3229</v>
      </c>
      <c r="I344" s="5" t="s">
        <v>51</v>
      </c>
      <c r="J344" s="5" t="s">
        <v>52</v>
      </c>
      <c r="K344" s="5" t="s">
        <v>3044</v>
      </c>
      <c r="L344" s="5" t="s">
        <v>3038</v>
      </c>
      <c r="M344" s="5" t="s">
        <v>58</v>
      </c>
      <c r="N344" s="5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5.05" hidden="false" customHeight="false" outlineLevel="0" collapsed="false">
      <c r="A1" s="6" t="s">
        <v>3266</v>
      </c>
      <c r="B1" s="6" t="s">
        <v>21</v>
      </c>
      <c r="C1" s="6" t="s">
        <v>3267</v>
      </c>
      <c r="D1" s="6" t="s">
        <v>3268</v>
      </c>
      <c r="E1" s="6" t="s">
        <v>3269</v>
      </c>
      <c r="F1" s="6" t="s">
        <v>3270</v>
      </c>
      <c r="G1" s="6" t="s">
        <v>3271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n">
        <f aca="false">COUNTIF('Task Library'!$B$2:$B$344,A2)</f>
        <v>4</v>
      </c>
      <c r="D2" s="7" t="n">
        <f aca="false">COUNTIFS('Task Library'!$B$2:$B$344,A2,'Task Library'!$M$2:$M$344,"[MUST HAVE]")</f>
        <v>1</v>
      </c>
      <c r="E2" s="7" t="n">
        <f aca="false">SUMIF('Task Library'!$B$2:$B$344,A2,'Task Library'!$P$2:$P$344)</f>
        <v>6</v>
      </c>
      <c r="F2" s="7" t="n">
        <f aca="false">SUMIFS('Task Library'!$P$2:$P$344,'Task Library'!$B$2:$B$344,A2,'Task Library'!$M$2:$M$344,"[MUST HAVE]")</f>
        <v>1</v>
      </c>
      <c r="G2" s="8" t="n">
        <f aca="false">IF($E$69=0,0,E2/$E$69)</f>
        <v>0.00895522388059702</v>
      </c>
    </row>
    <row r="3" customFormat="false" ht="15" hidden="false" customHeight="false" outlineLevel="0" collapsed="false">
      <c r="A3" s="7" t="s">
        <v>97</v>
      </c>
      <c r="B3" s="7" t="s">
        <v>98</v>
      </c>
      <c r="C3" s="7" t="n">
        <f aca="false">COUNTIF('Task Library'!$B$2:$B$344,A3)</f>
        <v>4</v>
      </c>
      <c r="D3" s="7" t="n">
        <f aca="false">COUNTIFS('Task Library'!$B$2:$B$344,A3,'Task Library'!$M$2:$M$344,"[MUST HAVE]")</f>
        <v>1</v>
      </c>
      <c r="E3" s="7" t="n">
        <f aca="false">SUMIF('Task Library'!$B$2:$B$344,A3,'Task Library'!$P$2:$P$344)</f>
        <v>4</v>
      </c>
      <c r="F3" s="7" t="n">
        <f aca="false">SUMIFS('Task Library'!$P$2:$P$344,'Task Library'!$B$2:$B$344,A3,'Task Library'!$M$2:$M$344,"[MUST HAVE]")</f>
        <v>1</v>
      </c>
      <c r="G3" s="8" t="n">
        <f aca="false">IF($E$69=0,0,E3/$E$69)</f>
        <v>0.00597014925373134</v>
      </c>
    </row>
    <row r="4" customFormat="false" ht="15" hidden="false" customHeight="false" outlineLevel="0" collapsed="false">
      <c r="A4" s="7" t="s">
        <v>139</v>
      </c>
      <c r="B4" s="7" t="s">
        <v>48</v>
      </c>
      <c r="C4" s="7" t="n">
        <f aca="false">COUNTIF('Task Library'!$B$2:$B$344,A4)</f>
        <v>5</v>
      </c>
      <c r="D4" s="7" t="n">
        <f aca="false">COUNTIFS('Task Library'!$B$2:$B$344,A4,'Task Library'!$M$2:$M$344,"[MUST HAVE]")</f>
        <v>1</v>
      </c>
      <c r="E4" s="7" t="n">
        <f aca="false">SUMIF('Task Library'!$B$2:$B$344,A4,'Task Library'!$P$2:$P$344)</f>
        <v>7</v>
      </c>
      <c r="F4" s="7" t="n">
        <f aca="false">SUMIFS('Task Library'!$P$2:$P$344,'Task Library'!$B$2:$B$344,A4,'Task Library'!$M$2:$M$344,"[MUST HAVE]")</f>
        <v>1</v>
      </c>
      <c r="G4" s="8" t="n">
        <f aca="false">IF($E$69=0,0,E4/$E$69)</f>
        <v>0.0104477611940299</v>
      </c>
    </row>
    <row r="5" customFormat="false" ht="15" hidden="false" customHeight="false" outlineLevel="0" collapsed="false">
      <c r="A5" s="7" t="s">
        <v>191</v>
      </c>
      <c r="B5" s="7" t="s">
        <v>192</v>
      </c>
      <c r="C5" s="7" t="n">
        <f aca="false">COUNTIF('Task Library'!$B$2:$B$344,A5)</f>
        <v>5</v>
      </c>
      <c r="D5" s="7" t="n">
        <f aca="false">COUNTIFS('Task Library'!$B$2:$B$344,A5,'Task Library'!$M$2:$M$344,"[MUST HAVE]")</f>
        <v>5</v>
      </c>
      <c r="E5" s="7" t="n">
        <f aca="false">SUMIF('Task Library'!$B$2:$B$344,A5,'Task Library'!$P$2:$P$344)</f>
        <v>8</v>
      </c>
      <c r="F5" s="7" t="n">
        <f aca="false">SUMIFS('Task Library'!$P$2:$P$344,'Task Library'!$B$2:$B$344,A5,'Task Library'!$M$2:$M$344,"[MUST HAVE]")</f>
        <v>8</v>
      </c>
      <c r="G5" s="8" t="n">
        <f aca="false">IF($E$69=0,0,E5/$E$69)</f>
        <v>0.0119402985074627</v>
      </c>
    </row>
    <row r="6" customFormat="false" ht="15" hidden="false" customHeight="false" outlineLevel="0" collapsed="false">
      <c r="A6" s="7" t="s">
        <v>243</v>
      </c>
      <c r="B6" s="7" t="s">
        <v>244</v>
      </c>
      <c r="C6" s="7" t="n">
        <f aca="false">COUNTIF('Task Library'!$B$2:$B$344,A6)</f>
        <v>7</v>
      </c>
      <c r="D6" s="7" t="n">
        <f aca="false">COUNTIFS('Task Library'!$B$2:$B$344,A6,'Task Library'!$M$2:$M$344,"[MUST HAVE]")</f>
        <v>6</v>
      </c>
      <c r="E6" s="7" t="n">
        <f aca="false">SUMIF('Task Library'!$B$2:$B$344,A6,'Task Library'!$P$2:$P$344)</f>
        <v>10</v>
      </c>
      <c r="F6" s="7" t="n">
        <f aca="false">SUMIFS('Task Library'!$P$2:$P$344,'Task Library'!$B$2:$B$344,A6,'Task Library'!$M$2:$M$344,"[MUST HAVE]")</f>
        <v>9</v>
      </c>
      <c r="G6" s="8" t="n">
        <f aca="false">IF($E$69=0,0,E6/$E$69)</f>
        <v>0.0149253731343284</v>
      </c>
    </row>
    <row r="7" customFormat="false" ht="15" hidden="false" customHeight="false" outlineLevel="0" collapsed="false">
      <c r="A7" s="7" t="s">
        <v>308</v>
      </c>
      <c r="B7" s="7" t="s">
        <v>309</v>
      </c>
      <c r="C7" s="7" t="n">
        <f aca="false">COUNTIF('Task Library'!$B$2:$B$344,A7)</f>
        <v>5</v>
      </c>
      <c r="D7" s="7" t="n">
        <f aca="false">COUNTIFS('Task Library'!$B$2:$B$344,A7,'Task Library'!$M$2:$M$344,"[MUST HAVE]")</f>
        <v>5</v>
      </c>
      <c r="E7" s="7" t="n">
        <f aca="false">SUMIF('Task Library'!$B$2:$B$344,A7,'Task Library'!$P$2:$P$344)</f>
        <v>6</v>
      </c>
      <c r="F7" s="7" t="n">
        <f aca="false">SUMIFS('Task Library'!$P$2:$P$344,'Task Library'!$B$2:$B$344,A7,'Task Library'!$M$2:$M$344,"[MUST HAVE]")</f>
        <v>6</v>
      </c>
      <c r="G7" s="8" t="n">
        <f aca="false">IF($E$69=0,0,E7/$E$69)</f>
        <v>0.00895522388059702</v>
      </c>
    </row>
    <row r="8" customFormat="false" ht="15" hidden="false" customHeight="false" outlineLevel="0" collapsed="false">
      <c r="A8" s="7" t="s">
        <v>352</v>
      </c>
      <c r="B8" s="7" t="s">
        <v>353</v>
      </c>
      <c r="C8" s="7" t="n">
        <f aca="false">COUNTIF('Task Library'!$B$2:$B$344,A8)</f>
        <v>6</v>
      </c>
      <c r="D8" s="7" t="n">
        <f aca="false">COUNTIFS('Task Library'!$B$2:$B$344,A8,'Task Library'!$M$2:$M$344,"[MUST HAVE]")</f>
        <v>3</v>
      </c>
      <c r="E8" s="7" t="n">
        <f aca="false">SUMIF('Task Library'!$B$2:$B$344,A8,'Task Library'!$P$2:$P$344)</f>
        <v>11</v>
      </c>
      <c r="F8" s="7" t="n">
        <f aca="false">SUMIFS('Task Library'!$P$2:$P$344,'Task Library'!$B$2:$B$344,A8,'Task Library'!$M$2:$M$344,"[MUST HAVE]")</f>
        <v>8</v>
      </c>
      <c r="G8" s="8" t="n">
        <f aca="false">IF($E$69=0,0,E8/$E$69)</f>
        <v>0.0164179104477612</v>
      </c>
    </row>
    <row r="9" customFormat="false" ht="15" hidden="false" customHeight="false" outlineLevel="0" collapsed="false">
      <c r="A9" s="7" t="s">
        <v>413</v>
      </c>
      <c r="B9" s="7" t="s">
        <v>414</v>
      </c>
      <c r="C9" s="7" t="n">
        <f aca="false">COUNTIF('Task Library'!$B$2:$B$344,A9)</f>
        <v>6</v>
      </c>
      <c r="D9" s="7" t="n">
        <f aca="false">COUNTIFS('Task Library'!$B$2:$B$344,A9,'Task Library'!$M$2:$M$344,"[MUST HAVE]")</f>
        <v>4</v>
      </c>
      <c r="E9" s="7" t="n">
        <f aca="false">SUMIF('Task Library'!$B$2:$B$344,A9,'Task Library'!$P$2:$P$344)</f>
        <v>7</v>
      </c>
      <c r="F9" s="7" t="n">
        <f aca="false">SUMIFS('Task Library'!$P$2:$P$344,'Task Library'!$B$2:$B$344,A9,'Task Library'!$M$2:$M$344,"[MUST HAVE]")</f>
        <v>5</v>
      </c>
      <c r="G9" s="8" t="n">
        <f aca="false">IF($E$69=0,0,E9/$E$69)</f>
        <v>0.0104477611940299</v>
      </c>
    </row>
    <row r="10" customFormat="false" ht="15" hidden="false" customHeight="false" outlineLevel="0" collapsed="false">
      <c r="A10" s="7" t="s">
        <v>473</v>
      </c>
      <c r="B10" s="7" t="s">
        <v>474</v>
      </c>
      <c r="C10" s="7" t="n">
        <f aca="false">COUNTIF('Task Library'!$B$2:$B$344,A10)</f>
        <v>6</v>
      </c>
      <c r="D10" s="7" t="n">
        <f aca="false">COUNTIFS('Task Library'!$B$2:$B$344,A10,'Task Library'!$M$2:$M$344,"[MUST HAVE]")</f>
        <v>5</v>
      </c>
      <c r="E10" s="7" t="n">
        <f aca="false">SUMIF('Task Library'!$B$2:$B$344,A10,'Task Library'!$P$2:$P$344)</f>
        <v>6</v>
      </c>
      <c r="F10" s="7" t="n">
        <f aca="false">SUMIFS('Task Library'!$P$2:$P$344,'Task Library'!$B$2:$B$344,A10,'Task Library'!$M$2:$M$344,"[MUST HAVE]")</f>
        <v>5</v>
      </c>
      <c r="G10" s="8" t="n">
        <f aca="false">IF($E$69=0,0,E10/$E$69)</f>
        <v>0.00895522388059702</v>
      </c>
    </row>
    <row r="11" customFormat="false" ht="15" hidden="false" customHeight="false" outlineLevel="0" collapsed="false">
      <c r="A11" s="7" t="s">
        <v>534</v>
      </c>
      <c r="B11" s="7" t="s">
        <v>535</v>
      </c>
      <c r="C11" s="7" t="n">
        <f aca="false">COUNTIF('Task Library'!$B$2:$B$344,A11)</f>
        <v>8</v>
      </c>
      <c r="D11" s="7" t="n">
        <f aca="false">COUNTIFS('Task Library'!$B$2:$B$344,A11,'Task Library'!$M$2:$M$344,"[MUST HAVE]")</f>
        <v>8</v>
      </c>
      <c r="E11" s="7" t="n">
        <f aca="false">SUMIF('Task Library'!$B$2:$B$344,A11,'Task Library'!$P$2:$P$344)</f>
        <v>11</v>
      </c>
      <c r="F11" s="7" t="n">
        <f aca="false">SUMIFS('Task Library'!$P$2:$P$344,'Task Library'!$B$2:$B$344,A11,'Task Library'!$M$2:$M$344,"[MUST HAVE]")</f>
        <v>11</v>
      </c>
      <c r="G11" s="8" t="n">
        <f aca="false">IF($E$69=0,0,E11/$E$69)</f>
        <v>0.0164179104477612</v>
      </c>
    </row>
    <row r="12" customFormat="false" ht="15" hidden="false" customHeight="false" outlineLevel="0" collapsed="false">
      <c r="A12" s="7" t="s">
        <v>615</v>
      </c>
      <c r="B12" s="7" t="s">
        <v>616</v>
      </c>
      <c r="C12" s="7" t="n">
        <f aca="false">COUNTIF('Task Library'!$B$2:$B$344,A12)</f>
        <v>5</v>
      </c>
      <c r="D12" s="7" t="n">
        <f aca="false">COUNTIFS('Task Library'!$B$2:$B$344,A12,'Task Library'!$M$2:$M$344,"[MUST HAVE]")</f>
        <v>1</v>
      </c>
      <c r="E12" s="7" t="n">
        <f aca="false">SUMIF('Task Library'!$B$2:$B$344,A12,'Task Library'!$P$2:$P$344)</f>
        <v>6</v>
      </c>
      <c r="F12" s="7" t="n">
        <f aca="false">SUMIFS('Task Library'!$P$2:$P$344,'Task Library'!$B$2:$B$344,A12,'Task Library'!$M$2:$M$344,"[MUST HAVE]")</f>
        <v>1</v>
      </c>
      <c r="G12" s="8" t="n">
        <f aca="false">IF($E$69=0,0,E12/$E$69)</f>
        <v>0.00895522388059702</v>
      </c>
    </row>
    <row r="13" customFormat="false" ht="15" hidden="false" customHeight="false" outlineLevel="0" collapsed="false">
      <c r="A13" s="7" t="s">
        <v>668</v>
      </c>
      <c r="B13" s="7" t="s">
        <v>669</v>
      </c>
      <c r="C13" s="7" t="n">
        <f aca="false">COUNTIF('Task Library'!$B$2:$B$344,A13)</f>
        <v>5</v>
      </c>
      <c r="D13" s="7" t="n">
        <f aca="false">COUNTIFS('Task Library'!$B$2:$B$344,A13,'Task Library'!$M$2:$M$344,"[MUST HAVE]")</f>
        <v>2</v>
      </c>
      <c r="E13" s="7" t="n">
        <f aca="false">SUMIF('Task Library'!$B$2:$B$344,A13,'Task Library'!$P$2:$P$344)</f>
        <v>11</v>
      </c>
      <c r="F13" s="7" t="n">
        <f aca="false">SUMIFS('Task Library'!$P$2:$P$344,'Task Library'!$B$2:$B$344,A13,'Task Library'!$M$2:$M$344,"[MUST HAVE]")</f>
        <v>3</v>
      </c>
      <c r="G13" s="8" t="n">
        <f aca="false">IF($E$69=0,0,E13/$E$69)</f>
        <v>0.0164179104477612</v>
      </c>
    </row>
    <row r="14" customFormat="false" ht="15" hidden="false" customHeight="false" outlineLevel="0" collapsed="false">
      <c r="A14" s="7" t="s">
        <v>716</v>
      </c>
      <c r="B14" s="7" t="s">
        <v>717</v>
      </c>
      <c r="C14" s="7" t="n">
        <f aca="false">COUNTIF('Task Library'!$B$2:$B$344,A14)</f>
        <v>3</v>
      </c>
      <c r="D14" s="7" t="n">
        <f aca="false">COUNTIFS('Task Library'!$B$2:$B$344,A14,'Task Library'!$M$2:$M$344,"[MUST HAVE]")</f>
        <v>0</v>
      </c>
      <c r="E14" s="7" t="n">
        <f aca="false">SUMIF('Task Library'!$B$2:$B$344,A14,'Task Library'!$P$2:$P$344)</f>
        <v>6</v>
      </c>
      <c r="F14" s="7" t="n">
        <f aca="false">SUMIFS('Task Library'!$P$2:$P$344,'Task Library'!$B$2:$B$344,A14,'Task Library'!$M$2:$M$344,"[MUST HAVE]")</f>
        <v>0</v>
      </c>
      <c r="G14" s="8" t="n">
        <f aca="false">IF($E$69=0,0,E14/$E$69)</f>
        <v>0.00895522388059702</v>
      </c>
    </row>
    <row r="15" customFormat="false" ht="15" hidden="false" customHeight="false" outlineLevel="0" collapsed="false">
      <c r="A15" s="7" t="s">
        <v>745</v>
      </c>
      <c r="B15" s="7" t="s">
        <v>746</v>
      </c>
      <c r="C15" s="7" t="n">
        <f aca="false">COUNTIF('Task Library'!$B$2:$B$344,A15)</f>
        <v>4</v>
      </c>
      <c r="D15" s="7" t="n">
        <f aca="false">COUNTIFS('Task Library'!$B$2:$B$344,A15,'Task Library'!$M$2:$M$344,"[MUST HAVE]")</f>
        <v>2</v>
      </c>
      <c r="E15" s="7" t="n">
        <f aca="false">SUMIF('Task Library'!$B$2:$B$344,A15,'Task Library'!$P$2:$P$344)</f>
        <v>29</v>
      </c>
      <c r="F15" s="7" t="n">
        <f aca="false">SUMIFS('Task Library'!$P$2:$P$344,'Task Library'!$B$2:$B$344,A15,'Task Library'!$M$2:$M$344,"[MUST HAVE]")</f>
        <v>2</v>
      </c>
      <c r="G15" s="8" t="n">
        <f aca="false">IF($E$69=0,0,E15/$E$69)</f>
        <v>0.0432835820895522</v>
      </c>
    </row>
    <row r="16" customFormat="false" ht="15" hidden="false" customHeight="false" outlineLevel="0" collapsed="false">
      <c r="A16" s="7" t="s">
        <v>787</v>
      </c>
      <c r="B16" s="7" t="s">
        <v>788</v>
      </c>
      <c r="C16" s="7" t="n">
        <f aca="false">COUNTIF('Task Library'!$B$2:$B$344,A16)</f>
        <v>6</v>
      </c>
      <c r="D16" s="7" t="n">
        <f aca="false">COUNTIFS('Task Library'!$B$2:$B$344,A16,'Task Library'!$M$2:$M$344,"[MUST HAVE]")</f>
        <v>5</v>
      </c>
      <c r="E16" s="7" t="n">
        <f aca="false">SUMIF('Task Library'!$B$2:$B$344,A16,'Task Library'!$P$2:$P$344)</f>
        <v>9</v>
      </c>
      <c r="F16" s="7" t="n">
        <f aca="false">SUMIFS('Task Library'!$P$2:$P$344,'Task Library'!$B$2:$B$344,A16,'Task Library'!$M$2:$M$344,"[MUST HAVE]")</f>
        <v>8</v>
      </c>
      <c r="G16" s="8" t="n">
        <f aca="false">IF($E$69=0,0,E16/$E$69)</f>
        <v>0.0134328358208955</v>
      </c>
    </row>
    <row r="17" customFormat="false" ht="15" hidden="false" customHeight="false" outlineLevel="0" collapsed="false">
      <c r="A17" s="7" t="s">
        <v>845</v>
      </c>
      <c r="B17" s="7" t="s">
        <v>846</v>
      </c>
      <c r="C17" s="7" t="n">
        <f aca="false">COUNTIF('Task Library'!$B$2:$B$344,A17)</f>
        <v>6</v>
      </c>
      <c r="D17" s="7" t="n">
        <f aca="false">COUNTIFS('Task Library'!$B$2:$B$344,A17,'Task Library'!$M$2:$M$344,"[MUST HAVE]")</f>
        <v>1</v>
      </c>
      <c r="E17" s="7" t="n">
        <f aca="false">SUMIF('Task Library'!$B$2:$B$344,A17,'Task Library'!$P$2:$P$344)</f>
        <v>19</v>
      </c>
      <c r="F17" s="7" t="n">
        <f aca="false">SUMIFS('Task Library'!$P$2:$P$344,'Task Library'!$B$2:$B$344,A17,'Task Library'!$M$2:$M$344,"[MUST HAVE]")</f>
        <v>2</v>
      </c>
      <c r="G17" s="8" t="n">
        <f aca="false">IF($E$69=0,0,E17/$E$69)</f>
        <v>0.0283582089552239</v>
      </c>
    </row>
    <row r="18" customFormat="false" ht="15" hidden="false" customHeight="false" outlineLevel="0" collapsed="false">
      <c r="A18" s="7" t="s">
        <v>906</v>
      </c>
      <c r="B18" s="7" t="s">
        <v>907</v>
      </c>
      <c r="C18" s="7" t="n">
        <f aca="false">COUNTIF('Task Library'!$B$2:$B$344,A18)</f>
        <v>4</v>
      </c>
      <c r="D18" s="7" t="n">
        <f aca="false">COUNTIFS('Task Library'!$B$2:$B$344,A18,'Task Library'!$M$2:$M$344,"[MUST HAVE]")</f>
        <v>1</v>
      </c>
      <c r="E18" s="7" t="n">
        <f aca="false">SUMIF('Task Library'!$B$2:$B$344,A18,'Task Library'!$P$2:$P$344)</f>
        <v>7</v>
      </c>
      <c r="F18" s="7" t="n">
        <f aca="false">SUMIFS('Task Library'!$P$2:$P$344,'Task Library'!$B$2:$B$344,A18,'Task Library'!$M$2:$M$344,"[MUST HAVE]")</f>
        <v>2</v>
      </c>
      <c r="G18" s="8" t="n">
        <f aca="false">IF($E$69=0,0,E18/$E$69)</f>
        <v>0.0104477611940299</v>
      </c>
    </row>
    <row r="19" customFormat="false" ht="15" hidden="false" customHeight="false" outlineLevel="0" collapsed="false">
      <c r="A19" s="7" t="s">
        <v>944</v>
      </c>
      <c r="B19" s="7" t="s">
        <v>945</v>
      </c>
      <c r="C19" s="7" t="n">
        <f aca="false">COUNTIF('Task Library'!$B$2:$B$344,A19)</f>
        <v>3</v>
      </c>
      <c r="D19" s="7" t="n">
        <f aca="false">COUNTIFS('Task Library'!$B$2:$B$344,A19,'Task Library'!$M$2:$M$344,"[MUST HAVE]")</f>
        <v>0</v>
      </c>
      <c r="E19" s="7" t="n">
        <f aca="false">SUMIF('Task Library'!$B$2:$B$344,A19,'Task Library'!$P$2:$P$344)</f>
        <v>8</v>
      </c>
      <c r="F19" s="7" t="n">
        <f aca="false">SUMIFS('Task Library'!$P$2:$P$344,'Task Library'!$B$2:$B$344,A19,'Task Library'!$M$2:$M$344,"[MUST HAVE]")</f>
        <v>0</v>
      </c>
      <c r="G19" s="8" t="n">
        <f aca="false">IF($E$69=0,0,E19/$E$69)</f>
        <v>0.0119402985074627</v>
      </c>
    </row>
    <row r="20" customFormat="false" ht="15" hidden="false" customHeight="false" outlineLevel="0" collapsed="false">
      <c r="A20" s="7" t="s">
        <v>971</v>
      </c>
      <c r="B20" s="7" t="s">
        <v>972</v>
      </c>
      <c r="C20" s="7" t="n">
        <f aca="false">COUNTIF('Task Library'!$B$2:$B$344,A20)</f>
        <v>6</v>
      </c>
      <c r="D20" s="7" t="n">
        <f aca="false">COUNTIFS('Task Library'!$B$2:$B$344,A20,'Task Library'!$M$2:$M$344,"[MUST HAVE]")</f>
        <v>3</v>
      </c>
      <c r="E20" s="7" t="n">
        <f aca="false">SUMIF('Task Library'!$B$2:$B$344,A20,'Task Library'!$P$2:$P$344)</f>
        <v>21</v>
      </c>
      <c r="F20" s="7" t="n">
        <f aca="false">SUMIFS('Task Library'!$P$2:$P$344,'Task Library'!$B$2:$B$344,A20,'Task Library'!$M$2:$M$344,"[MUST HAVE]")</f>
        <v>15</v>
      </c>
      <c r="G20" s="8" t="n">
        <f aca="false">IF($E$69=0,0,E20/$E$69)</f>
        <v>0.0313432835820896</v>
      </c>
    </row>
    <row r="21" customFormat="false" ht="15" hidden="false" customHeight="false" outlineLevel="0" collapsed="false">
      <c r="A21" s="7" t="s">
        <v>1026</v>
      </c>
      <c r="B21" s="7" t="s">
        <v>1027</v>
      </c>
      <c r="C21" s="7" t="n">
        <f aca="false">COUNTIF('Task Library'!$B$2:$B$344,A21)</f>
        <v>5</v>
      </c>
      <c r="D21" s="7" t="n">
        <f aca="false">COUNTIFS('Task Library'!$B$2:$B$344,A21,'Task Library'!$M$2:$M$344,"[MUST HAVE]")</f>
        <v>0</v>
      </c>
      <c r="E21" s="7" t="n">
        <f aca="false">SUMIF('Task Library'!$B$2:$B$344,A21,'Task Library'!$P$2:$P$344)</f>
        <v>9</v>
      </c>
      <c r="F21" s="7" t="n">
        <f aca="false">SUMIFS('Task Library'!$P$2:$P$344,'Task Library'!$B$2:$B$344,A21,'Task Library'!$M$2:$M$344,"[MUST HAVE]")</f>
        <v>0</v>
      </c>
      <c r="G21" s="8" t="n">
        <f aca="false">IF($E$69=0,0,E21/$E$69)</f>
        <v>0.0134328358208955</v>
      </c>
    </row>
    <row r="22" customFormat="false" ht="15" hidden="false" customHeight="false" outlineLevel="0" collapsed="false">
      <c r="A22" s="7" t="s">
        <v>1071</v>
      </c>
      <c r="B22" s="7" t="s">
        <v>1072</v>
      </c>
      <c r="C22" s="7" t="n">
        <f aca="false">COUNTIF('Task Library'!$B$2:$B$344,A22)</f>
        <v>4</v>
      </c>
      <c r="D22" s="7" t="n">
        <f aca="false">COUNTIFS('Task Library'!$B$2:$B$344,A22,'Task Library'!$M$2:$M$344,"[MUST HAVE]")</f>
        <v>3</v>
      </c>
      <c r="E22" s="7" t="n">
        <f aca="false">SUMIF('Task Library'!$B$2:$B$344,A22,'Task Library'!$P$2:$P$344)</f>
        <v>7</v>
      </c>
      <c r="F22" s="7" t="n">
        <f aca="false">SUMIFS('Task Library'!$P$2:$P$344,'Task Library'!$B$2:$B$344,A22,'Task Library'!$M$2:$M$344,"[MUST HAVE]")</f>
        <v>6</v>
      </c>
      <c r="G22" s="8" t="n">
        <f aca="false">IF($E$69=0,0,E22/$E$69)</f>
        <v>0.0104477611940299</v>
      </c>
    </row>
    <row r="23" customFormat="false" ht="15" hidden="false" customHeight="false" outlineLevel="0" collapsed="false">
      <c r="A23" s="7" t="s">
        <v>1108</v>
      </c>
      <c r="B23" s="7" t="s">
        <v>1109</v>
      </c>
      <c r="C23" s="7" t="n">
        <f aca="false">COUNTIF('Task Library'!$B$2:$B$344,A23)</f>
        <v>25</v>
      </c>
      <c r="D23" s="7" t="n">
        <f aca="false">COUNTIFS('Task Library'!$B$2:$B$344,A23,'Task Library'!$M$2:$M$344,"[MUST HAVE]")</f>
        <v>16</v>
      </c>
      <c r="E23" s="7" t="n">
        <f aca="false">SUMIF('Task Library'!$B$2:$B$344,A23,'Task Library'!$P$2:$P$344)</f>
        <v>62</v>
      </c>
      <c r="F23" s="7" t="n">
        <f aca="false">SUMIFS('Task Library'!$P$2:$P$344,'Task Library'!$B$2:$B$344,A23,'Task Library'!$M$2:$M$344,"[MUST HAVE]")</f>
        <v>39</v>
      </c>
      <c r="G23" s="8" t="n">
        <f aca="false">IF($E$69=0,0,E23/$E$69)</f>
        <v>0.0925373134328358</v>
      </c>
    </row>
    <row r="24" customFormat="false" ht="15" hidden="false" customHeight="false" outlineLevel="0" collapsed="false">
      <c r="A24" s="7" t="s">
        <v>1324</v>
      </c>
      <c r="B24" s="7" t="s">
        <v>1325</v>
      </c>
      <c r="C24" s="7" t="n">
        <f aca="false">COUNTIF('Task Library'!$B$2:$B$344,A24)</f>
        <v>10</v>
      </c>
      <c r="D24" s="7" t="n">
        <f aca="false">COUNTIFS('Task Library'!$B$2:$B$344,A24,'Task Library'!$M$2:$M$344,"[MUST HAVE]")</f>
        <v>4</v>
      </c>
      <c r="E24" s="7" t="n">
        <f aca="false">SUMIF('Task Library'!$B$2:$B$344,A24,'Task Library'!$P$2:$P$344)</f>
        <v>33</v>
      </c>
      <c r="F24" s="7" t="n">
        <f aca="false">SUMIFS('Task Library'!$P$2:$P$344,'Task Library'!$B$2:$B$344,A24,'Task Library'!$M$2:$M$344,"[MUST HAVE]")</f>
        <v>8</v>
      </c>
      <c r="G24" s="8" t="n">
        <f aca="false">IF($E$69=0,0,E24/$E$69)</f>
        <v>0.0492537313432836</v>
      </c>
    </row>
    <row r="25" customFormat="false" ht="15" hidden="false" customHeight="false" outlineLevel="0" collapsed="false">
      <c r="A25" s="7" t="s">
        <v>1416</v>
      </c>
      <c r="B25" s="7" t="s">
        <v>1417</v>
      </c>
      <c r="C25" s="7" t="n">
        <f aca="false">COUNTIF('Task Library'!$B$2:$B$344,A25)</f>
        <v>7</v>
      </c>
      <c r="D25" s="7" t="n">
        <f aca="false">COUNTIFS('Task Library'!$B$2:$B$344,A25,'Task Library'!$M$2:$M$344,"[MUST HAVE]")</f>
        <v>1</v>
      </c>
      <c r="E25" s="7" t="n">
        <f aca="false">SUMIF('Task Library'!$B$2:$B$344,A25,'Task Library'!$P$2:$P$344)</f>
        <v>10</v>
      </c>
      <c r="F25" s="7" t="n">
        <f aca="false">SUMIFS('Task Library'!$P$2:$P$344,'Task Library'!$B$2:$B$344,A25,'Task Library'!$M$2:$M$344,"[MUST HAVE]")</f>
        <v>2</v>
      </c>
      <c r="G25" s="8" t="n">
        <f aca="false">IF($E$69=0,0,E25/$E$69)</f>
        <v>0.0149253731343284</v>
      </c>
    </row>
    <row r="26" customFormat="false" ht="15" hidden="false" customHeight="false" outlineLevel="0" collapsed="false">
      <c r="A26" s="7" t="s">
        <v>1478</v>
      </c>
      <c r="B26" s="7" t="s">
        <v>1479</v>
      </c>
      <c r="C26" s="7" t="n">
        <f aca="false">COUNTIF('Task Library'!$B$2:$B$344,A26)</f>
        <v>6</v>
      </c>
      <c r="D26" s="7" t="n">
        <f aca="false">COUNTIFS('Task Library'!$B$2:$B$344,A26,'Task Library'!$M$2:$M$344,"[MUST HAVE]")</f>
        <v>0</v>
      </c>
      <c r="E26" s="7" t="n">
        <f aca="false">SUMIF('Task Library'!$B$2:$B$344,A26,'Task Library'!$P$2:$P$344)</f>
        <v>21</v>
      </c>
      <c r="F26" s="7" t="n">
        <f aca="false">SUMIFS('Task Library'!$P$2:$P$344,'Task Library'!$B$2:$B$344,A26,'Task Library'!$M$2:$M$344,"[MUST HAVE]")</f>
        <v>0</v>
      </c>
      <c r="G26" s="8" t="n">
        <f aca="false">IF($E$69=0,0,E26/$E$69)</f>
        <v>0.0313432835820896</v>
      </c>
    </row>
    <row r="27" customFormat="false" ht="15" hidden="false" customHeight="false" outlineLevel="0" collapsed="false">
      <c r="A27" s="7" t="s">
        <v>1533</v>
      </c>
      <c r="B27" s="7" t="s">
        <v>1534</v>
      </c>
      <c r="C27" s="7" t="n">
        <f aca="false">COUNTIF('Task Library'!$B$2:$B$344,A27)</f>
        <v>3</v>
      </c>
      <c r="D27" s="7" t="n">
        <f aca="false">COUNTIFS('Task Library'!$B$2:$B$344,A27,'Task Library'!$M$2:$M$344,"[MUST HAVE]")</f>
        <v>1</v>
      </c>
      <c r="E27" s="7" t="n">
        <f aca="false">SUMIF('Task Library'!$B$2:$B$344,A27,'Task Library'!$P$2:$P$344)</f>
        <v>8</v>
      </c>
      <c r="F27" s="7" t="n">
        <f aca="false">SUMIFS('Task Library'!$P$2:$P$344,'Task Library'!$B$2:$B$344,A27,'Task Library'!$M$2:$M$344,"[MUST HAVE]")</f>
        <v>1</v>
      </c>
      <c r="G27" s="8" t="n">
        <f aca="false">IF($E$69=0,0,E27/$E$69)</f>
        <v>0.0119402985074627</v>
      </c>
    </row>
    <row r="28" customFormat="false" ht="15" hidden="false" customHeight="false" outlineLevel="0" collapsed="false">
      <c r="A28" s="7" t="s">
        <v>1562</v>
      </c>
      <c r="B28" s="7" t="s">
        <v>1563</v>
      </c>
      <c r="C28" s="7" t="n">
        <f aca="false">COUNTIF('Task Library'!$B$2:$B$344,A28)</f>
        <v>6</v>
      </c>
      <c r="D28" s="7" t="n">
        <f aca="false">COUNTIFS('Task Library'!$B$2:$B$344,A28,'Task Library'!$M$2:$M$344,"[MUST HAVE]")</f>
        <v>1</v>
      </c>
      <c r="E28" s="7" t="n">
        <f aca="false">SUMIF('Task Library'!$B$2:$B$344,A28,'Task Library'!$P$2:$P$344)</f>
        <v>11</v>
      </c>
      <c r="F28" s="7" t="n">
        <f aca="false">SUMIFS('Task Library'!$P$2:$P$344,'Task Library'!$B$2:$B$344,A28,'Task Library'!$M$2:$M$344,"[MUST HAVE]")</f>
        <v>1</v>
      </c>
      <c r="G28" s="8" t="n">
        <f aca="false">IF($E$69=0,0,E28/$E$69)</f>
        <v>0.0164179104477612</v>
      </c>
    </row>
    <row r="29" customFormat="false" ht="15" hidden="false" customHeight="false" outlineLevel="0" collapsed="false">
      <c r="A29" s="7" t="s">
        <v>1615</v>
      </c>
      <c r="B29" s="7" t="s">
        <v>1616</v>
      </c>
      <c r="C29" s="7" t="n">
        <f aca="false">COUNTIF('Task Library'!$B$2:$B$344,A29)</f>
        <v>6</v>
      </c>
      <c r="D29" s="7" t="n">
        <f aca="false">COUNTIFS('Task Library'!$B$2:$B$344,A29,'Task Library'!$M$2:$M$344,"[MUST HAVE]")</f>
        <v>5</v>
      </c>
      <c r="E29" s="7" t="n">
        <f aca="false">SUMIF('Task Library'!$B$2:$B$344,A29,'Task Library'!$P$2:$P$344)</f>
        <v>7</v>
      </c>
      <c r="F29" s="7" t="n">
        <f aca="false">SUMIFS('Task Library'!$P$2:$P$344,'Task Library'!$B$2:$B$344,A29,'Task Library'!$M$2:$M$344,"[MUST HAVE]")</f>
        <v>6</v>
      </c>
      <c r="G29" s="8" t="n">
        <f aca="false">IF($E$69=0,0,E29/$E$69)</f>
        <v>0.0104477611940299</v>
      </c>
    </row>
    <row r="30" customFormat="false" ht="15" hidden="false" customHeight="false" outlineLevel="0" collapsed="false">
      <c r="A30" s="7" t="s">
        <v>1670</v>
      </c>
      <c r="B30" s="7" t="s">
        <v>1671</v>
      </c>
      <c r="C30" s="7" t="n">
        <f aca="false">COUNTIF('Task Library'!$B$2:$B$344,A30)</f>
        <v>5</v>
      </c>
      <c r="D30" s="7" t="n">
        <f aca="false">COUNTIFS('Task Library'!$B$2:$B$344,A30,'Task Library'!$M$2:$M$344,"[MUST HAVE]")</f>
        <v>2</v>
      </c>
      <c r="E30" s="7" t="n">
        <f aca="false">SUMIF('Task Library'!$B$2:$B$344,A30,'Task Library'!$P$2:$P$344)</f>
        <v>8</v>
      </c>
      <c r="F30" s="7" t="n">
        <f aca="false">SUMIFS('Task Library'!$P$2:$P$344,'Task Library'!$B$2:$B$344,A30,'Task Library'!$M$2:$M$344,"[MUST HAVE]")</f>
        <v>2</v>
      </c>
      <c r="G30" s="8" t="n">
        <f aca="false">IF($E$69=0,0,E30/$E$69)</f>
        <v>0.0119402985074627</v>
      </c>
    </row>
    <row r="31" customFormat="false" ht="15" hidden="false" customHeight="false" outlineLevel="0" collapsed="false">
      <c r="A31" s="7" t="s">
        <v>1716</v>
      </c>
      <c r="B31" s="7" t="s">
        <v>1717</v>
      </c>
      <c r="C31" s="7" t="n">
        <f aca="false">COUNTIF('Task Library'!$B$2:$B$344,A31)</f>
        <v>5</v>
      </c>
      <c r="D31" s="7" t="n">
        <f aca="false">COUNTIFS('Task Library'!$B$2:$B$344,A31,'Task Library'!$M$2:$M$344,"[MUST HAVE]")</f>
        <v>0</v>
      </c>
      <c r="E31" s="7" t="n">
        <f aca="false">SUMIF('Task Library'!$B$2:$B$344,A31,'Task Library'!$P$2:$P$344)</f>
        <v>10</v>
      </c>
      <c r="F31" s="7" t="n">
        <f aca="false">SUMIFS('Task Library'!$P$2:$P$344,'Task Library'!$B$2:$B$344,A31,'Task Library'!$M$2:$M$344,"[MUST HAVE]")</f>
        <v>0</v>
      </c>
      <c r="G31" s="8" t="n">
        <f aca="false">IF($E$69=0,0,E31/$E$69)</f>
        <v>0.0149253731343284</v>
      </c>
    </row>
    <row r="32" customFormat="false" ht="15" hidden="false" customHeight="false" outlineLevel="0" collapsed="false">
      <c r="A32" s="7" t="s">
        <v>1760</v>
      </c>
      <c r="B32" s="7" t="s">
        <v>1761</v>
      </c>
      <c r="C32" s="7" t="n">
        <f aca="false">COUNTIF('Task Library'!$B$2:$B$344,A32)</f>
        <v>4</v>
      </c>
      <c r="D32" s="7" t="n">
        <f aca="false">COUNTIFS('Task Library'!$B$2:$B$344,A32,'Task Library'!$M$2:$M$344,"[MUST HAVE]")</f>
        <v>0</v>
      </c>
      <c r="E32" s="7" t="n">
        <f aca="false">SUMIF('Task Library'!$B$2:$B$344,A32,'Task Library'!$P$2:$P$344)</f>
        <v>25</v>
      </c>
      <c r="F32" s="7" t="n">
        <f aca="false">SUMIFS('Task Library'!$P$2:$P$344,'Task Library'!$B$2:$B$344,A32,'Task Library'!$M$2:$M$344,"[MUST HAVE]")</f>
        <v>0</v>
      </c>
      <c r="G32" s="8" t="n">
        <f aca="false">IF($E$69=0,0,E32/$E$69)</f>
        <v>0.0373134328358209</v>
      </c>
    </row>
    <row r="33" customFormat="false" ht="15" hidden="false" customHeight="false" outlineLevel="0" collapsed="false">
      <c r="A33" s="7" t="s">
        <v>1795</v>
      </c>
      <c r="B33" s="7" t="s">
        <v>1796</v>
      </c>
      <c r="C33" s="7" t="n">
        <f aca="false">COUNTIF('Task Library'!$B$2:$B$344,A33)</f>
        <v>7</v>
      </c>
      <c r="D33" s="7" t="n">
        <f aca="false">COUNTIFS('Task Library'!$B$2:$B$344,A33,'Task Library'!$M$2:$M$344,"[MUST HAVE]")</f>
        <v>0</v>
      </c>
      <c r="E33" s="7" t="n">
        <f aca="false">SUMIF('Task Library'!$B$2:$B$344,A33,'Task Library'!$P$2:$P$344)</f>
        <v>36</v>
      </c>
      <c r="F33" s="7" t="n">
        <f aca="false">SUMIFS('Task Library'!$P$2:$P$344,'Task Library'!$B$2:$B$344,A33,'Task Library'!$M$2:$M$344,"[MUST HAVE]")</f>
        <v>0</v>
      </c>
      <c r="G33" s="8" t="n">
        <f aca="false">IF($E$69=0,0,E33/$E$69)</f>
        <v>0.0537313432835821</v>
      </c>
    </row>
    <row r="34" customFormat="false" ht="15" hidden="false" customHeight="false" outlineLevel="0" collapsed="false">
      <c r="A34" s="7" t="s">
        <v>1865</v>
      </c>
      <c r="B34" s="7" t="s">
        <v>1866</v>
      </c>
      <c r="C34" s="7" t="n">
        <f aca="false">COUNTIF('Task Library'!$B$2:$B$344,A34)</f>
        <v>4</v>
      </c>
      <c r="D34" s="7" t="n">
        <f aca="false">COUNTIFS('Task Library'!$B$2:$B$344,A34,'Task Library'!$M$2:$M$344,"[MUST HAVE]")</f>
        <v>0</v>
      </c>
      <c r="E34" s="7" t="n">
        <f aca="false">SUMIF('Task Library'!$B$2:$B$344,A34,'Task Library'!$P$2:$P$344)</f>
        <v>8</v>
      </c>
      <c r="F34" s="7" t="n">
        <f aca="false">SUMIFS('Task Library'!$P$2:$P$344,'Task Library'!$B$2:$B$344,A34,'Task Library'!$M$2:$M$344,"[MUST HAVE]")</f>
        <v>0</v>
      </c>
      <c r="G34" s="8" t="n">
        <f aca="false">IF($E$69=0,0,E34/$E$69)</f>
        <v>0.0119402985074627</v>
      </c>
    </row>
    <row r="35" customFormat="false" ht="15" hidden="false" customHeight="false" outlineLevel="0" collapsed="false">
      <c r="A35" s="7" t="s">
        <v>1900</v>
      </c>
      <c r="B35" s="7" t="s">
        <v>1901</v>
      </c>
      <c r="C35" s="7" t="n">
        <f aca="false">COUNTIF('Task Library'!$B$2:$B$344,A35)</f>
        <v>5</v>
      </c>
      <c r="D35" s="7" t="n">
        <f aca="false">COUNTIFS('Task Library'!$B$2:$B$344,A35,'Task Library'!$M$2:$M$344,"[MUST HAVE]")</f>
        <v>0</v>
      </c>
      <c r="E35" s="7" t="n">
        <f aca="false">SUMIF('Task Library'!$B$2:$B$344,A35,'Task Library'!$P$2:$P$344)</f>
        <v>17</v>
      </c>
      <c r="F35" s="7" t="n">
        <f aca="false">SUMIFS('Task Library'!$P$2:$P$344,'Task Library'!$B$2:$B$344,A35,'Task Library'!$M$2:$M$344,"[MUST HAVE]")</f>
        <v>0</v>
      </c>
      <c r="G35" s="8" t="n">
        <f aca="false">IF($E$69=0,0,E35/$E$69)</f>
        <v>0.0253731343283582</v>
      </c>
    </row>
    <row r="36" customFormat="false" ht="15" hidden="false" customHeight="false" outlineLevel="0" collapsed="false">
      <c r="A36" s="7" t="s">
        <v>1948</v>
      </c>
      <c r="B36" s="7" t="s">
        <v>1949</v>
      </c>
      <c r="C36" s="7" t="n">
        <f aca="false">COUNTIF('Task Library'!$B$2:$B$344,A36)</f>
        <v>11</v>
      </c>
      <c r="D36" s="7" t="n">
        <f aca="false">COUNTIFS('Task Library'!$B$2:$B$344,A36,'Task Library'!$M$2:$M$344,"[MUST HAVE]")</f>
        <v>8</v>
      </c>
      <c r="E36" s="7" t="n">
        <f aca="false">SUMIF('Task Library'!$B$2:$B$344,A36,'Task Library'!$P$2:$P$344)</f>
        <v>15</v>
      </c>
      <c r="F36" s="7" t="n">
        <f aca="false">SUMIFS('Task Library'!$P$2:$P$344,'Task Library'!$B$2:$B$344,A36,'Task Library'!$M$2:$M$344,"[MUST HAVE]")</f>
        <v>9</v>
      </c>
      <c r="G36" s="8" t="n">
        <f aca="false">IF($E$69=0,0,E36/$E$69)</f>
        <v>0.0223880597014925</v>
      </c>
    </row>
    <row r="37" customFormat="false" ht="15" hidden="false" customHeight="false" outlineLevel="0" collapsed="false">
      <c r="A37" s="7" t="s">
        <v>2049</v>
      </c>
      <c r="B37" s="7" t="s">
        <v>2050</v>
      </c>
      <c r="C37" s="7" t="n">
        <f aca="false">COUNTIF('Task Library'!$B$2:$B$344,A37)</f>
        <v>4</v>
      </c>
      <c r="D37" s="7" t="n">
        <f aca="false">COUNTIFS('Task Library'!$B$2:$B$344,A37,'Task Library'!$M$2:$M$344,"[MUST HAVE]")</f>
        <v>2</v>
      </c>
      <c r="E37" s="7" t="n">
        <f aca="false">SUMIF('Task Library'!$B$2:$B$344,A37,'Task Library'!$P$2:$P$344)</f>
        <v>5</v>
      </c>
      <c r="F37" s="7" t="n">
        <f aca="false">SUMIFS('Task Library'!$P$2:$P$344,'Task Library'!$B$2:$B$344,A37,'Task Library'!$M$2:$M$344,"[MUST HAVE]")</f>
        <v>2</v>
      </c>
      <c r="G37" s="8" t="n">
        <f aca="false">IF($E$69=0,0,E37/$E$69)</f>
        <v>0.00746268656716418</v>
      </c>
    </row>
    <row r="38" customFormat="false" ht="15" hidden="false" customHeight="false" outlineLevel="0" collapsed="false">
      <c r="A38" s="7" t="s">
        <v>2088</v>
      </c>
      <c r="B38" s="7" t="s">
        <v>2089</v>
      </c>
      <c r="C38" s="7" t="n">
        <f aca="false">COUNTIF('Task Library'!$B$2:$B$344,A38)</f>
        <v>8</v>
      </c>
      <c r="D38" s="7" t="n">
        <f aca="false">COUNTIFS('Task Library'!$B$2:$B$344,A38,'Task Library'!$M$2:$M$344,"[MUST HAVE]")</f>
        <v>6</v>
      </c>
      <c r="E38" s="7" t="n">
        <f aca="false">SUMIF('Task Library'!$B$2:$B$344,A38,'Task Library'!$P$2:$P$344)</f>
        <v>11</v>
      </c>
      <c r="F38" s="7" t="n">
        <f aca="false">SUMIFS('Task Library'!$P$2:$P$344,'Task Library'!$B$2:$B$344,A38,'Task Library'!$M$2:$M$344,"[MUST HAVE]")</f>
        <v>8</v>
      </c>
      <c r="G38" s="8" t="n">
        <f aca="false">IF($E$69=0,0,E38/$E$69)</f>
        <v>0.0164179104477612</v>
      </c>
    </row>
    <row r="39" customFormat="false" ht="15" hidden="false" customHeight="false" outlineLevel="0" collapsed="false">
      <c r="A39" s="7" t="s">
        <v>2163</v>
      </c>
      <c r="B39" s="7" t="s">
        <v>2164</v>
      </c>
      <c r="C39" s="7" t="n">
        <f aca="false">COUNTIF('Task Library'!$B$2:$B$344,A39)</f>
        <v>7</v>
      </c>
      <c r="D39" s="7" t="n">
        <f aca="false">COUNTIFS('Task Library'!$B$2:$B$344,A39,'Task Library'!$M$2:$M$344,"[MUST HAVE]")</f>
        <v>2</v>
      </c>
      <c r="E39" s="7" t="n">
        <f aca="false">SUMIF('Task Library'!$B$2:$B$344,A39,'Task Library'!$P$2:$P$344)</f>
        <v>9</v>
      </c>
      <c r="F39" s="7" t="n">
        <f aca="false">SUMIFS('Task Library'!$P$2:$P$344,'Task Library'!$B$2:$B$344,A39,'Task Library'!$M$2:$M$344,"[MUST HAVE]")</f>
        <v>3</v>
      </c>
      <c r="G39" s="8" t="n">
        <f aca="false">IF($E$69=0,0,E39/$E$69)</f>
        <v>0.0134328358208955</v>
      </c>
    </row>
    <row r="40" customFormat="false" ht="15" hidden="false" customHeight="false" outlineLevel="0" collapsed="false">
      <c r="A40" s="7" t="s">
        <v>2229</v>
      </c>
      <c r="B40" s="7" t="s">
        <v>2230</v>
      </c>
      <c r="C40" s="7" t="n">
        <f aca="false">COUNTIF('Task Library'!$B$2:$B$344,A40)</f>
        <v>9</v>
      </c>
      <c r="D40" s="7" t="n">
        <f aca="false">COUNTIFS('Task Library'!$B$2:$B$344,A40,'Task Library'!$M$2:$M$344,"[MUST HAVE]")</f>
        <v>6</v>
      </c>
      <c r="E40" s="7" t="n">
        <f aca="false">SUMIF('Task Library'!$B$2:$B$344,A40,'Task Library'!$P$2:$P$344)</f>
        <v>13</v>
      </c>
      <c r="F40" s="7" t="n">
        <f aca="false">SUMIFS('Task Library'!$P$2:$P$344,'Task Library'!$B$2:$B$344,A40,'Task Library'!$M$2:$M$344,"[MUST HAVE]")</f>
        <v>8</v>
      </c>
      <c r="G40" s="8" t="n">
        <f aca="false">IF($E$69=0,0,E40/$E$69)</f>
        <v>0.0194029850746269</v>
      </c>
    </row>
    <row r="41" customFormat="false" ht="15" hidden="false" customHeight="false" outlineLevel="0" collapsed="false">
      <c r="A41" s="7" t="s">
        <v>2306</v>
      </c>
      <c r="B41" s="7" t="s">
        <v>2307</v>
      </c>
      <c r="C41" s="7" t="n">
        <f aca="false">COUNTIF('Task Library'!$B$2:$B$344,A41)</f>
        <v>3</v>
      </c>
      <c r="D41" s="7" t="n">
        <f aca="false">COUNTIFS('Task Library'!$B$2:$B$344,A41,'Task Library'!$M$2:$M$344,"[MUST HAVE]")</f>
        <v>3</v>
      </c>
      <c r="E41" s="7" t="n">
        <f aca="false">SUMIF('Task Library'!$B$2:$B$344,A41,'Task Library'!$P$2:$P$344)</f>
        <v>5</v>
      </c>
      <c r="F41" s="7" t="n">
        <f aca="false">SUMIFS('Task Library'!$P$2:$P$344,'Task Library'!$B$2:$B$344,A41,'Task Library'!$M$2:$M$344,"[MUST HAVE]")</f>
        <v>5</v>
      </c>
      <c r="G41" s="8" t="n">
        <f aca="false">IF($E$69=0,0,E41/$E$69)</f>
        <v>0.00746268656716418</v>
      </c>
    </row>
    <row r="42" customFormat="false" ht="15" hidden="false" customHeight="false" outlineLevel="0" collapsed="false">
      <c r="A42" s="7" t="s">
        <v>2331</v>
      </c>
      <c r="B42" s="7" t="s">
        <v>2332</v>
      </c>
      <c r="C42" s="7" t="n">
        <f aca="false">COUNTIF('Task Library'!$B$2:$B$344,A42)</f>
        <v>3</v>
      </c>
      <c r="D42" s="7" t="n">
        <f aca="false">COUNTIFS('Task Library'!$B$2:$B$344,A42,'Task Library'!$M$2:$M$344,"[MUST HAVE]")</f>
        <v>3</v>
      </c>
      <c r="E42" s="7" t="n">
        <f aca="false">SUMIF('Task Library'!$B$2:$B$344,A42,'Task Library'!$P$2:$P$344)</f>
        <v>6</v>
      </c>
      <c r="F42" s="7" t="n">
        <f aca="false">SUMIFS('Task Library'!$P$2:$P$344,'Task Library'!$B$2:$B$344,A42,'Task Library'!$M$2:$M$344,"[MUST HAVE]")</f>
        <v>6</v>
      </c>
      <c r="G42" s="8" t="n">
        <f aca="false">IF($E$69=0,0,E42/$E$69)</f>
        <v>0.00895522388059702</v>
      </c>
    </row>
    <row r="43" customFormat="false" ht="15" hidden="false" customHeight="false" outlineLevel="0" collapsed="false">
      <c r="A43" s="7" t="s">
        <v>2356</v>
      </c>
      <c r="B43" s="7" t="s">
        <v>1664</v>
      </c>
      <c r="C43" s="7" t="n">
        <f aca="false">COUNTIF('Task Library'!$B$2:$B$344,A43)</f>
        <v>5</v>
      </c>
      <c r="D43" s="7" t="n">
        <f aca="false">COUNTIFS('Task Library'!$B$2:$B$344,A43,'Task Library'!$M$2:$M$344,"[MUST HAVE]")</f>
        <v>4</v>
      </c>
      <c r="E43" s="7" t="n">
        <f aca="false">SUMIF('Task Library'!$B$2:$B$344,A43,'Task Library'!$P$2:$P$344)</f>
        <v>10</v>
      </c>
      <c r="F43" s="7" t="n">
        <f aca="false">SUMIFS('Task Library'!$P$2:$P$344,'Task Library'!$B$2:$B$344,A43,'Task Library'!$M$2:$M$344,"[MUST HAVE]")</f>
        <v>9</v>
      </c>
      <c r="G43" s="8" t="n">
        <f aca="false">IF($E$69=0,0,E43/$E$69)</f>
        <v>0.0149253731343284</v>
      </c>
    </row>
    <row r="44" customFormat="false" ht="15" hidden="false" customHeight="false" outlineLevel="0" collapsed="false">
      <c r="A44" s="7" t="s">
        <v>2403</v>
      </c>
      <c r="B44" s="7" t="s">
        <v>2404</v>
      </c>
      <c r="C44" s="7" t="n">
        <f aca="false">COUNTIF('Task Library'!$B$2:$B$344,A44)</f>
        <v>3</v>
      </c>
      <c r="D44" s="7" t="n">
        <f aca="false">COUNTIFS('Task Library'!$B$2:$B$344,A44,'Task Library'!$M$2:$M$344,"[MUST HAVE]")</f>
        <v>3</v>
      </c>
      <c r="E44" s="7" t="n">
        <f aca="false">SUMIF('Task Library'!$B$2:$B$344,A44,'Task Library'!$P$2:$P$344)</f>
        <v>3</v>
      </c>
      <c r="F44" s="7" t="n">
        <f aca="false">SUMIFS('Task Library'!$P$2:$P$344,'Task Library'!$B$2:$B$344,A44,'Task Library'!$M$2:$M$344,"[MUST HAVE]")</f>
        <v>3</v>
      </c>
      <c r="G44" s="8" t="n">
        <f aca="false">IF($E$69=0,0,E44/$E$69)</f>
        <v>0.00447761194029851</v>
      </c>
    </row>
    <row r="45" customFormat="false" ht="15" hidden="false" customHeight="false" outlineLevel="0" collapsed="false">
      <c r="A45" s="7" t="s">
        <v>2433</v>
      </c>
      <c r="B45" s="7" t="s">
        <v>2434</v>
      </c>
      <c r="C45" s="7" t="n">
        <f aca="false">COUNTIF('Task Library'!$B$2:$B$344,A45)</f>
        <v>3</v>
      </c>
      <c r="D45" s="7" t="n">
        <f aca="false">COUNTIFS('Task Library'!$B$2:$B$344,A45,'Task Library'!$M$2:$M$344,"[MUST HAVE]")</f>
        <v>2</v>
      </c>
      <c r="E45" s="7" t="n">
        <f aca="false">SUMIF('Task Library'!$B$2:$B$344,A45,'Task Library'!$P$2:$P$344)</f>
        <v>3</v>
      </c>
      <c r="F45" s="7" t="n">
        <f aca="false">SUMIFS('Task Library'!$P$2:$P$344,'Task Library'!$B$2:$B$344,A45,'Task Library'!$M$2:$M$344,"[MUST HAVE]")</f>
        <v>2</v>
      </c>
      <c r="G45" s="8" t="n">
        <f aca="false">IF($E$69=0,0,E45/$E$69)</f>
        <v>0.00447761194029851</v>
      </c>
    </row>
    <row r="46" customFormat="false" ht="15" hidden="false" customHeight="false" outlineLevel="0" collapsed="false">
      <c r="A46" s="7" t="s">
        <v>2458</v>
      </c>
      <c r="B46" s="7" t="s">
        <v>2459</v>
      </c>
      <c r="C46" s="7" t="n">
        <f aca="false">COUNTIF('Task Library'!$B$2:$B$344,A46)</f>
        <v>3</v>
      </c>
      <c r="D46" s="7" t="n">
        <f aca="false">COUNTIFS('Task Library'!$B$2:$B$344,A46,'Task Library'!$M$2:$M$344,"[MUST HAVE]")</f>
        <v>2</v>
      </c>
      <c r="E46" s="7" t="n">
        <f aca="false">SUMIF('Task Library'!$B$2:$B$344,A46,'Task Library'!$P$2:$P$344)</f>
        <v>10</v>
      </c>
      <c r="F46" s="7" t="n">
        <f aca="false">SUMIFS('Task Library'!$P$2:$P$344,'Task Library'!$B$2:$B$344,A46,'Task Library'!$M$2:$M$344,"[MUST HAVE]")</f>
        <v>7</v>
      </c>
      <c r="G46" s="8" t="n">
        <f aca="false">IF($E$69=0,0,E46/$E$69)</f>
        <v>0.0149253731343284</v>
      </c>
    </row>
    <row r="47" customFormat="false" ht="15" hidden="false" customHeight="false" outlineLevel="0" collapsed="false">
      <c r="A47" s="7" t="s">
        <v>2486</v>
      </c>
      <c r="B47" s="7" t="s">
        <v>2487</v>
      </c>
      <c r="C47" s="7" t="n">
        <f aca="false">COUNTIF('Task Library'!$B$2:$B$344,A47)</f>
        <v>3</v>
      </c>
      <c r="D47" s="7" t="n">
        <f aca="false">COUNTIFS('Task Library'!$B$2:$B$344,A47,'Task Library'!$M$2:$M$344,"[MUST HAVE]")</f>
        <v>3</v>
      </c>
      <c r="E47" s="7" t="n">
        <f aca="false">SUMIF('Task Library'!$B$2:$B$344,A47,'Task Library'!$P$2:$P$344)</f>
        <v>3</v>
      </c>
      <c r="F47" s="7" t="n">
        <f aca="false">SUMIFS('Task Library'!$P$2:$P$344,'Task Library'!$B$2:$B$344,A47,'Task Library'!$M$2:$M$344,"[MUST HAVE]")</f>
        <v>3</v>
      </c>
      <c r="G47" s="8" t="n">
        <f aca="false">IF($E$69=0,0,E47/$E$69)</f>
        <v>0.00447761194029851</v>
      </c>
    </row>
    <row r="48" customFormat="false" ht="15" hidden="false" customHeight="false" outlineLevel="0" collapsed="false">
      <c r="A48" s="7" t="s">
        <v>2514</v>
      </c>
      <c r="B48" s="7" t="s">
        <v>2515</v>
      </c>
      <c r="C48" s="7" t="n">
        <f aca="false">COUNTIF('Task Library'!$B$2:$B$344,A48)</f>
        <v>4</v>
      </c>
      <c r="D48" s="7" t="n">
        <f aca="false">COUNTIFS('Task Library'!$B$2:$B$344,A48,'Task Library'!$M$2:$M$344,"[MUST HAVE]")</f>
        <v>2</v>
      </c>
      <c r="E48" s="7" t="n">
        <f aca="false">SUMIF('Task Library'!$B$2:$B$344,A48,'Task Library'!$P$2:$P$344)</f>
        <v>5</v>
      </c>
      <c r="F48" s="7" t="n">
        <f aca="false">SUMIFS('Task Library'!$P$2:$P$344,'Task Library'!$B$2:$B$344,A48,'Task Library'!$M$2:$M$344,"[MUST HAVE]")</f>
        <v>2</v>
      </c>
      <c r="G48" s="8" t="n">
        <f aca="false">IF($E$69=0,0,E48/$E$69)</f>
        <v>0.00746268656716418</v>
      </c>
    </row>
    <row r="49" customFormat="false" ht="15" hidden="false" customHeight="false" outlineLevel="0" collapsed="false">
      <c r="A49" s="7" t="s">
        <v>2552</v>
      </c>
      <c r="B49" s="7" t="s">
        <v>2553</v>
      </c>
      <c r="C49" s="7" t="n">
        <f aca="false">COUNTIF('Task Library'!$B$2:$B$344,A49)</f>
        <v>3</v>
      </c>
      <c r="D49" s="7" t="n">
        <f aca="false">COUNTIFS('Task Library'!$B$2:$B$344,A49,'Task Library'!$M$2:$M$344,"[MUST HAVE]")</f>
        <v>3</v>
      </c>
      <c r="E49" s="7" t="n">
        <f aca="false">SUMIF('Task Library'!$B$2:$B$344,A49,'Task Library'!$P$2:$P$344)</f>
        <v>3</v>
      </c>
      <c r="F49" s="7" t="n">
        <f aca="false">SUMIFS('Task Library'!$P$2:$P$344,'Task Library'!$B$2:$B$344,A49,'Task Library'!$M$2:$M$344,"[MUST HAVE]")</f>
        <v>3</v>
      </c>
      <c r="G49" s="8" t="n">
        <f aca="false">IF($E$69=0,0,E49/$E$69)</f>
        <v>0.00447761194029851</v>
      </c>
    </row>
    <row r="50" customFormat="false" ht="15" hidden="false" customHeight="false" outlineLevel="0" collapsed="false">
      <c r="A50" s="7" t="s">
        <v>2578</v>
      </c>
      <c r="B50" s="7" t="s">
        <v>2579</v>
      </c>
      <c r="C50" s="7" t="n">
        <f aca="false">COUNTIF('Task Library'!$B$2:$B$344,A50)</f>
        <v>3</v>
      </c>
      <c r="D50" s="7" t="n">
        <f aca="false">COUNTIFS('Task Library'!$B$2:$B$344,A50,'Task Library'!$M$2:$M$344,"[MUST HAVE]")</f>
        <v>3</v>
      </c>
      <c r="E50" s="7" t="n">
        <f aca="false">SUMIF('Task Library'!$B$2:$B$344,A50,'Task Library'!$P$2:$P$344)</f>
        <v>3</v>
      </c>
      <c r="F50" s="7" t="n">
        <f aca="false">SUMIFS('Task Library'!$P$2:$P$344,'Task Library'!$B$2:$B$344,A50,'Task Library'!$M$2:$M$344,"[MUST HAVE]")</f>
        <v>3</v>
      </c>
      <c r="G50" s="8" t="n">
        <f aca="false">IF($E$69=0,0,E50/$E$69)</f>
        <v>0.00447761194029851</v>
      </c>
    </row>
    <row r="51" customFormat="false" ht="15" hidden="false" customHeight="false" outlineLevel="0" collapsed="false">
      <c r="A51" s="7" t="s">
        <v>2605</v>
      </c>
      <c r="B51" s="7" t="s">
        <v>2606</v>
      </c>
      <c r="C51" s="7" t="n">
        <f aca="false">COUNTIF('Task Library'!$B$2:$B$344,A51)</f>
        <v>3</v>
      </c>
      <c r="D51" s="7" t="n">
        <f aca="false">COUNTIFS('Task Library'!$B$2:$B$344,A51,'Task Library'!$M$2:$M$344,"[MUST HAVE]")</f>
        <v>2</v>
      </c>
      <c r="E51" s="7" t="n">
        <f aca="false">SUMIF('Task Library'!$B$2:$B$344,A51,'Task Library'!$P$2:$P$344)</f>
        <v>10</v>
      </c>
      <c r="F51" s="7" t="n">
        <f aca="false">SUMIFS('Task Library'!$P$2:$P$344,'Task Library'!$B$2:$B$344,A51,'Task Library'!$M$2:$M$344,"[MUST HAVE]")</f>
        <v>2</v>
      </c>
      <c r="G51" s="8" t="n">
        <f aca="false">IF($E$69=0,0,E51/$E$69)</f>
        <v>0.0149253731343284</v>
      </c>
    </row>
    <row r="52" customFormat="false" ht="15" hidden="false" customHeight="false" outlineLevel="0" collapsed="false">
      <c r="A52" s="7" t="s">
        <v>2632</v>
      </c>
      <c r="B52" s="7" t="s">
        <v>2633</v>
      </c>
      <c r="C52" s="7" t="n">
        <f aca="false">COUNTIF('Task Library'!$B$2:$B$344,A52)</f>
        <v>3</v>
      </c>
      <c r="D52" s="7" t="n">
        <f aca="false">COUNTIFS('Task Library'!$B$2:$B$344,A52,'Task Library'!$M$2:$M$344,"[MUST HAVE]")</f>
        <v>3</v>
      </c>
      <c r="E52" s="7" t="n">
        <f aca="false">SUMIF('Task Library'!$B$2:$B$344,A52,'Task Library'!$P$2:$P$344)</f>
        <v>3</v>
      </c>
      <c r="F52" s="7" t="n">
        <f aca="false">SUMIFS('Task Library'!$P$2:$P$344,'Task Library'!$B$2:$B$344,A52,'Task Library'!$M$2:$M$344,"[MUST HAVE]")</f>
        <v>3</v>
      </c>
      <c r="G52" s="8" t="n">
        <f aca="false">IF($E$69=0,0,E52/$E$69)</f>
        <v>0.00447761194029851</v>
      </c>
    </row>
    <row r="53" customFormat="false" ht="15" hidden="false" customHeight="false" outlineLevel="0" collapsed="false">
      <c r="A53" s="7" t="s">
        <v>2659</v>
      </c>
      <c r="B53" s="7" t="s">
        <v>2660</v>
      </c>
      <c r="C53" s="7" t="n">
        <f aca="false">COUNTIF('Task Library'!$B$2:$B$344,A53)</f>
        <v>4</v>
      </c>
      <c r="D53" s="7" t="n">
        <f aca="false">COUNTIFS('Task Library'!$B$2:$B$344,A53,'Task Library'!$M$2:$M$344,"[MUST HAVE]")</f>
        <v>1</v>
      </c>
      <c r="E53" s="7" t="n">
        <f aca="false">SUMIF('Task Library'!$B$2:$B$344,A53,'Task Library'!$P$2:$P$344)</f>
        <v>4</v>
      </c>
      <c r="F53" s="7" t="n">
        <f aca="false">SUMIFS('Task Library'!$P$2:$P$344,'Task Library'!$B$2:$B$344,A53,'Task Library'!$M$2:$M$344,"[MUST HAVE]")</f>
        <v>1</v>
      </c>
      <c r="G53" s="8" t="n">
        <f aca="false">IF($E$69=0,0,E53/$E$69)</f>
        <v>0.00597014925373134</v>
      </c>
    </row>
    <row r="54" customFormat="false" ht="15" hidden="false" customHeight="false" outlineLevel="0" collapsed="false">
      <c r="A54" s="7" t="s">
        <v>2695</v>
      </c>
      <c r="B54" s="7" t="s">
        <v>1470</v>
      </c>
      <c r="C54" s="7" t="n">
        <f aca="false">COUNTIF('Task Library'!$B$2:$B$344,A54)</f>
        <v>5</v>
      </c>
      <c r="D54" s="7" t="n">
        <f aca="false">COUNTIFS('Task Library'!$B$2:$B$344,A54,'Task Library'!$M$2:$M$344,"[MUST HAVE]")</f>
        <v>4</v>
      </c>
      <c r="E54" s="7" t="n">
        <f aca="false">SUMIF('Task Library'!$B$2:$B$344,A54,'Task Library'!$P$2:$P$344)</f>
        <v>7</v>
      </c>
      <c r="F54" s="7" t="n">
        <f aca="false">SUMIFS('Task Library'!$P$2:$P$344,'Task Library'!$B$2:$B$344,A54,'Task Library'!$M$2:$M$344,"[MUST HAVE]")</f>
        <v>6</v>
      </c>
      <c r="G54" s="8" t="n">
        <f aca="false">IF($E$69=0,0,E54/$E$69)</f>
        <v>0.0104477611940299</v>
      </c>
    </row>
    <row r="55" customFormat="false" ht="15" hidden="false" customHeight="false" outlineLevel="0" collapsed="false">
      <c r="A55" s="7" t="s">
        <v>2735</v>
      </c>
      <c r="B55" s="7" t="s">
        <v>2736</v>
      </c>
      <c r="C55" s="7" t="n">
        <f aca="false">COUNTIF('Task Library'!$B$2:$B$344,A55)</f>
        <v>4</v>
      </c>
      <c r="D55" s="7" t="n">
        <f aca="false">COUNTIFS('Task Library'!$B$2:$B$344,A55,'Task Library'!$M$2:$M$344,"[MUST HAVE]")</f>
        <v>3</v>
      </c>
      <c r="E55" s="7" t="n">
        <f aca="false">SUMIF('Task Library'!$B$2:$B$344,A55,'Task Library'!$P$2:$P$344)</f>
        <v>5</v>
      </c>
      <c r="F55" s="7" t="n">
        <f aca="false">SUMIFS('Task Library'!$P$2:$P$344,'Task Library'!$B$2:$B$344,A55,'Task Library'!$M$2:$M$344,"[MUST HAVE]")</f>
        <v>3</v>
      </c>
      <c r="G55" s="8" t="n">
        <f aca="false">IF($E$69=0,0,E55/$E$69)</f>
        <v>0.00746268656716418</v>
      </c>
    </row>
    <row r="56" customFormat="false" ht="15" hidden="false" customHeight="false" outlineLevel="0" collapsed="false">
      <c r="A56" s="7" t="s">
        <v>2769</v>
      </c>
      <c r="B56" s="7" t="s">
        <v>2770</v>
      </c>
      <c r="C56" s="7" t="n">
        <f aca="false">COUNTIF('Task Library'!$B$2:$B$344,A56)</f>
        <v>3</v>
      </c>
      <c r="D56" s="7" t="n">
        <f aca="false">COUNTIFS('Task Library'!$B$2:$B$344,A56,'Task Library'!$M$2:$M$344,"[MUST HAVE]")</f>
        <v>3</v>
      </c>
      <c r="E56" s="7" t="n">
        <f aca="false">SUMIF('Task Library'!$B$2:$B$344,A56,'Task Library'!$P$2:$P$344)</f>
        <v>7</v>
      </c>
      <c r="F56" s="7" t="n">
        <f aca="false">SUMIFS('Task Library'!$P$2:$P$344,'Task Library'!$B$2:$B$344,A56,'Task Library'!$M$2:$M$344,"[MUST HAVE]")</f>
        <v>7</v>
      </c>
      <c r="G56" s="8" t="n">
        <f aca="false">IF($E$69=0,0,E56/$E$69)</f>
        <v>0.0104477611940299</v>
      </c>
    </row>
    <row r="57" customFormat="false" ht="15" hidden="false" customHeight="false" outlineLevel="0" collapsed="false">
      <c r="A57" s="7" t="s">
        <v>2796</v>
      </c>
      <c r="B57" s="7" t="s">
        <v>2797</v>
      </c>
      <c r="C57" s="7" t="n">
        <f aca="false">COUNTIF('Task Library'!$B$2:$B$344,A57)</f>
        <v>4</v>
      </c>
      <c r="D57" s="7" t="n">
        <f aca="false">COUNTIFS('Task Library'!$B$2:$B$344,A57,'Task Library'!$M$2:$M$344,"[MUST HAVE]")</f>
        <v>3</v>
      </c>
      <c r="E57" s="7" t="n">
        <f aca="false">SUMIF('Task Library'!$B$2:$B$344,A57,'Task Library'!$P$2:$P$344)</f>
        <v>8</v>
      </c>
      <c r="F57" s="7" t="n">
        <f aca="false">SUMIFS('Task Library'!$P$2:$P$344,'Task Library'!$B$2:$B$344,A57,'Task Library'!$M$2:$M$344,"[MUST HAVE]")</f>
        <v>6</v>
      </c>
      <c r="G57" s="8" t="n">
        <f aca="false">IF($E$69=0,0,E57/$E$69)</f>
        <v>0.0119402985074627</v>
      </c>
    </row>
    <row r="58" customFormat="false" ht="15" hidden="false" customHeight="false" outlineLevel="0" collapsed="false">
      <c r="A58" s="7" t="s">
        <v>1329</v>
      </c>
      <c r="B58" s="7" t="s">
        <v>2832</v>
      </c>
      <c r="C58" s="7" t="n">
        <f aca="false">COUNTIF('Task Library'!$B$2:$B$344,A58)</f>
        <v>2</v>
      </c>
      <c r="D58" s="7" t="n">
        <f aca="false">COUNTIFS('Task Library'!$B$2:$B$344,A58,'Task Library'!$M$2:$M$344,"[MUST HAVE]")</f>
        <v>0</v>
      </c>
      <c r="E58" s="7" t="n">
        <f aca="false">SUMIF('Task Library'!$B$2:$B$344,A58,'Task Library'!$P$2:$P$344)</f>
        <v>3</v>
      </c>
      <c r="F58" s="7" t="n">
        <f aca="false">SUMIFS('Task Library'!$P$2:$P$344,'Task Library'!$B$2:$B$344,A58,'Task Library'!$M$2:$M$344,"[MUST HAVE]")</f>
        <v>0</v>
      </c>
      <c r="G58" s="8" t="n">
        <f aca="false">IF($E$69=0,0,E58/$E$69)</f>
        <v>0.00447761194029851</v>
      </c>
    </row>
    <row r="59" customFormat="false" ht="15" hidden="false" customHeight="false" outlineLevel="0" collapsed="false">
      <c r="A59" s="7" t="s">
        <v>2851</v>
      </c>
      <c r="B59" s="7" t="s">
        <v>2852</v>
      </c>
      <c r="C59" s="7" t="n">
        <f aca="false">COUNTIF('Task Library'!$B$2:$B$344,A59)</f>
        <v>3</v>
      </c>
      <c r="D59" s="7" t="n">
        <f aca="false">COUNTIFS('Task Library'!$B$2:$B$344,A59,'Task Library'!$M$2:$M$344,"[MUST HAVE]")</f>
        <v>2</v>
      </c>
      <c r="E59" s="7" t="n">
        <f aca="false">SUMIF('Task Library'!$B$2:$B$344,A59,'Task Library'!$P$2:$P$344)</f>
        <v>3</v>
      </c>
      <c r="F59" s="7" t="n">
        <f aca="false">SUMIFS('Task Library'!$P$2:$P$344,'Task Library'!$B$2:$B$344,A59,'Task Library'!$M$2:$M$344,"[MUST HAVE]")</f>
        <v>2</v>
      </c>
      <c r="G59" s="8" t="n">
        <f aca="false">IF($E$69=0,0,E59/$E$69)</f>
        <v>0.00447761194029851</v>
      </c>
    </row>
    <row r="60" customFormat="false" ht="15" hidden="false" customHeight="false" outlineLevel="0" collapsed="false">
      <c r="A60" s="7" t="s">
        <v>2876</v>
      </c>
      <c r="B60" s="7" t="s">
        <v>2877</v>
      </c>
      <c r="C60" s="7" t="n">
        <f aca="false">COUNTIF('Task Library'!$B$2:$B$344,A60)</f>
        <v>9</v>
      </c>
      <c r="D60" s="7" t="n">
        <f aca="false">COUNTIFS('Task Library'!$B$2:$B$344,A60,'Task Library'!$M$2:$M$344,"[MUST HAVE]")</f>
        <v>9</v>
      </c>
      <c r="E60" s="7" t="n">
        <f aca="false">SUMIF('Task Library'!$B$2:$B$344,A60,'Task Library'!$P$2:$P$344)</f>
        <v>11</v>
      </c>
      <c r="F60" s="7" t="n">
        <f aca="false">SUMIFS('Task Library'!$P$2:$P$344,'Task Library'!$B$2:$B$344,A60,'Task Library'!$M$2:$M$344,"[MUST HAVE]")</f>
        <v>11</v>
      </c>
      <c r="G60" s="8" t="n">
        <f aca="false">IF($E$69=0,0,E60/$E$69)</f>
        <v>0.0164179104477612</v>
      </c>
    </row>
    <row r="61" customFormat="false" ht="15" hidden="false" customHeight="false" outlineLevel="0" collapsed="false">
      <c r="A61" s="7" t="s">
        <v>2960</v>
      </c>
      <c r="B61" s="7" t="s">
        <v>2961</v>
      </c>
      <c r="C61" s="7" t="n">
        <f aca="false">COUNTIF('Task Library'!$B$2:$B$344,A61)</f>
        <v>6</v>
      </c>
      <c r="D61" s="7" t="n">
        <f aca="false">COUNTIFS('Task Library'!$B$2:$B$344,A61,'Task Library'!$M$2:$M$344,"[MUST HAVE]")</f>
        <v>0</v>
      </c>
      <c r="E61" s="7" t="n">
        <f aca="false">SUMIF('Task Library'!$B$2:$B$344,A61,'Task Library'!$P$2:$P$344)</f>
        <v>8</v>
      </c>
      <c r="F61" s="7" t="n">
        <f aca="false">SUMIFS('Task Library'!$P$2:$P$344,'Task Library'!$B$2:$B$344,A61,'Task Library'!$M$2:$M$344,"[MUST HAVE]")</f>
        <v>0</v>
      </c>
      <c r="G61" s="8" t="n">
        <f aca="false">IF($E$69=0,0,E61/$E$69)</f>
        <v>0.0119402985074627</v>
      </c>
    </row>
    <row r="62" customFormat="false" ht="15" hidden="false" customHeight="false" outlineLevel="0" collapsed="false">
      <c r="A62" s="7" t="s">
        <v>3013</v>
      </c>
      <c r="B62" s="7" t="s">
        <v>3014</v>
      </c>
      <c r="C62" s="7" t="n">
        <f aca="false">COUNTIF('Task Library'!$B$2:$B$344,A62)</f>
        <v>3</v>
      </c>
      <c r="D62" s="7" t="n">
        <f aca="false">COUNTIFS('Task Library'!$B$2:$B$344,A62,'Task Library'!$M$2:$M$344,"[MUST HAVE]")</f>
        <v>1</v>
      </c>
      <c r="E62" s="7" t="n">
        <f aca="false">SUMIF('Task Library'!$B$2:$B$344,A62,'Task Library'!$P$2:$P$344)</f>
        <v>3</v>
      </c>
      <c r="F62" s="7" t="n">
        <f aca="false">SUMIFS('Task Library'!$P$2:$P$344,'Task Library'!$B$2:$B$344,A62,'Task Library'!$M$2:$M$344,"[MUST HAVE]")</f>
        <v>1</v>
      </c>
      <c r="G62" s="8" t="n">
        <f aca="false">IF($E$69=0,0,E62/$E$69)</f>
        <v>0.00447761194029851</v>
      </c>
    </row>
    <row r="63" customFormat="false" ht="15" hidden="false" customHeight="false" outlineLevel="0" collapsed="false">
      <c r="A63" s="7" t="s">
        <v>3039</v>
      </c>
      <c r="B63" s="7" t="s">
        <v>3040</v>
      </c>
      <c r="C63" s="7" t="n">
        <f aca="false">COUNTIF('Task Library'!$B$2:$B$344,A63)</f>
        <v>6</v>
      </c>
      <c r="D63" s="7" t="n">
        <f aca="false">COUNTIFS('Task Library'!$B$2:$B$344,A63,'Task Library'!$M$2:$M$344,"[MUST HAVE]")</f>
        <v>4</v>
      </c>
      <c r="E63" s="7" t="n">
        <f aca="false">SUMIF('Task Library'!$B$2:$B$344,A63,'Task Library'!$P$2:$P$344)</f>
        <v>6</v>
      </c>
      <c r="F63" s="7" t="n">
        <f aca="false">SUMIFS('Task Library'!$P$2:$P$344,'Task Library'!$B$2:$B$344,A63,'Task Library'!$M$2:$M$344,"[MUST HAVE]")</f>
        <v>4</v>
      </c>
      <c r="G63" s="8" t="n">
        <f aca="false">IF($E$69=0,0,E63/$E$69)</f>
        <v>0.00895522388059702</v>
      </c>
    </row>
    <row r="64" customFormat="false" ht="15" hidden="false" customHeight="false" outlineLevel="0" collapsed="false">
      <c r="A64" s="7" t="s">
        <v>3095</v>
      </c>
      <c r="B64" s="7" t="s">
        <v>3096</v>
      </c>
      <c r="C64" s="7" t="n">
        <f aca="false">COUNTIF('Task Library'!$B$2:$B$344,A64)</f>
        <v>5</v>
      </c>
      <c r="D64" s="7" t="n">
        <f aca="false">COUNTIFS('Task Library'!$B$2:$B$344,A64,'Task Library'!$M$2:$M$344,"[MUST HAVE]")</f>
        <v>2</v>
      </c>
      <c r="E64" s="7" t="n">
        <f aca="false">SUMIF('Task Library'!$B$2:$B$344,A64,'Task Library'!$P$2:$P$344)</f>
        <v>5</v>
      </c>
      <c r="F64" s="7" t="n">
        <f aca="false">SUMIFS('Task Library'!$P$2:$P$344,'Task Library'!$B$2:$B$344,A64,'Task Library'!$M$2:$M$344,"[MUST HAVE]")</f>
        <v>2</v>
      </c>
      <c r="G64" s="8" t="n">
        <f aca="false">IF($E$69=0,0,E64/$E$69)</f>
        <v>0.00746268656716418</v>
      </c>
    </row>
    <row r="65" customFormat="false" ht="15" hidden="false" customHeight="false" outlineLevel="0" collapsed="false">
      <c r="A65" s="7" t="s">
        <v>3138</v>
      </c>
      <c r="B65" s="7" t="s">
        <v>3139</v>
      </c>
      <c r="C65" s="7" t="n">
        <f aca="false">COUNTIF('Task Library'!$B$2:$B$344,A65)</f>
        <v>3</v>
      </c>
      <c r="D65" s="7" t="n">
        <f aca="false">COUNTIFS('Task Library'!$B$2:$B$344,A65,'Task Library'!$M$2:$M$344,"[MUST HAVE]")</f>
        <v>1</v>
      </c>
      <c r="E65" s="7" t="n">
        <f aca="false">SUMIF('Task Library'!$B$2:$B$344,A65,'Task Library'!$P$2:$P$344)</f>
        <v>4</v>
      </c>
      <c r="F65" s="7" t="n">
        <f aca="false">SUMIFS('Task Library'!$P$2:$P$344,'Task Library'!$B$2:$B$344,A65,'Task Library'!$M$2:$M$344,"[MUST HAVE]")</f>
        <v>1</v>
      </c>
      <c r="G65" s="8" t="n">
        <f aca="false">IF($E$69=0,0,E65/$E$69)</f>
        <v>0.00597014925373134</v>
      </c>
    </row>
    <row r="66" customFormat="false" ht="15" hidden="false" customHeight="false" outlineLevel="0" collapsed="false">
      <c r="A66" s="7" t="s">
        <v>3164</v>
      </c>
      <c r="B66" s="7" t="s">
        <v>3165</v>
      </c>
      <c r="C66" s="7" t="n">
        <f aca="false">COUNTIF('Task Library'!$B$2:$B$344,A66)</f>
        <v>3</v>
      </c>
      <c r="D66" s="7" t="n">
        <f aca="false">COUNTIFS('Task Library'!$B$2:$B$344,A66,'Task Library'!$M$2:$M$344,"[MUST HAVE]")</f>
        <v>0</v>
      </c>
      <c r="E66" s="7" t="n">
        <f aca="false">SUMIF('Task Library'!$B$2:$B$344,A66,'Task Library'!$P$2:$P$344)</f>
        <v>10</v>
      </c>
      <c r="F66" s="7" t="n">
        <f aca="false">SUMIFS('Task Library'!$P$2:$P$344,'Task Library'!$B$2:$B$344,A66,'Task Library'!$M$2:$M$344,"[MUST HAVE]")</f>
        <v>0</v>
      </c>
      <c r="G66" s="8" t="n">
        <f aca="false">IF($E$69=0,0,E66/$E$69)</f>
        <v>0.0149253731343284</v>
      </c>
    </row>
    <row r="67" customFormat="false" ht="15" hidden="false" customHeight="false" outlineLevel="0" collapsed="false">
      <c r="A67" s="7" t="s">
        <v>3188</v>
      </c>
      <c r="B67" s="7" t="s">
        <v>3189</v>
      </c>
      <c r="C67" s="7" t="n">
        <f aca="false">COUNTIF('Task Library'!$B$2:$B$344,A67)</f>
        <v>3</v>
      </c>
      <c r="D67" s="7" t="n">
        <f aca="false">COUNTIFS('Task Library'!$B$2:$B$344,A67,'Task Library'!$M$2:$M$344,"[MUST HAVE]")</f>
        <v>2</v>
      </c>
      <c r="E67" s="7" t="n">
        <f aca="false">SUMIF('Task Library'!$B$2:$B$344,A67,'Task Library'!$P$2:$P$344)</f>
        <v>3</v>
      </c>
      <c r="F67" s="7" t="n">
        <f aca="false">SUMIFS('Task Library'!$P$2:$P$344,'Task Library'!$B$2:$B$344,A67,'Task Library'!$M$2:$M$344,"[MUST HAVE]")</f>
        <v>2</v>
      </c>
      <c r="G67" s="8" t="n">
        <f aca="false">IF($E$69=0,0,E67/$E$69)</f>
        <v>0.00447761194029851</v>
      </c>
    </row>
    <row r="68" customFormat="false" ht="15" hidden="false" customHeight="false" outlineLevel="0" collapsed="false">
      <c r="A68" s="7" t="s">
        <v>3213</v>
      </c>
      <c r="B68" s="7" t="s">
        <v>3214</v>
      </c>
      <c r="C68" s="7" t="n">
        <f aca="false">COUNTIF('Task Library'!$B$2:$B$344,A68)</f>
        <v>2</v>
      </c>
      <c r="D68" s="7" t="n">
        <f aca="false">COUNTIFS('Task Library'!$B$2:$B$344,A68,'Task Library'!$M$2:$M$344,"[MUST HAVE]")</f>
        <v>0</v>
      </c>
      <c r="E68" s="7" t="n">
        <f aca="false">SUMIF('Task Library'!$B$2:$B$344,A68,'Task Library'!$P$2:$P$344)</f>
        <v>2</v>
      </c>
      <c r="F68" s="7" t="n">
        <f aca="false">SUMIFS('Task Library'!$P$2:$P$344,'Task Library'!$B$2:$B$344,A68,'Task Library'!$M$2:$M$344,"[MUST HAVE]")</f>
        <v>0</v>
      </c>
      <c r="G68" s="8" t="n">
        <f aca="false">IF($E$69=0,0,E68/$E$69)</f>
        <v>0.00298507462686567</v>
      </c>
    </row>
    <row r="69" customFormat="false" ht="15" hidden="false" customHeight="false" outlineLevel="0" collapsed="false">
      <c r="A69" s="7"/>
      <c r="B69" s="9" t="s">
        <v>3272</v>
      </c>
      <c r="C69" s="9" t="n">
        <f aca="false">SUM(C2:C68)</f>
        <v>343</v>
      </c>
      <c r="D69" s="9" t="n">
        <f aca="false">SUM(D2:D68)</f>
        <v>179</v>
      </c>
      <c r="E69" s="9" t="n">
        <f aca="false">SUM(E2:E68)</f>
        <v>670</v>
      </c>
      <c r="F69" s="9" t="n">
        <f aca="false">SUM(F2:F68)</f>
        <v>277</v>
      </c>
      <c r="G69" s="8" t="n">
        <f aca="false">SUM(G2:G68)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2026-09-28T10:18:53Z</dcterms:created>
  <dc:creator>openpyxl</dc:creator>
  <dc:description/>
  <dc:language>en-US</dc:language>
  <cp:lastModifiedBy/>
  <dcterms:modified xsi:type="dcterms:W3CDTF">2026-09-28T10:18:53Z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